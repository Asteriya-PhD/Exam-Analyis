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hidePivotFieldList="1"/>
  <mc:AlternateContent xmlns:mc="http://schemas.openxmlformats.org/markup-compatibility/2006">
    <mc:Choice Requires="x15">
      <x15ac:absPath xmlns:x15ac="http://schemas.microsoft.com/office/spreadsheetml/2010/11/ac" url="/Users/zhewenliu/Nutstore Files/2022洪山高中/年级组工作/2025.02.圆创联考/"/>
    </mc:Choice>
  </mc:AlternateContent>
  <xr:revisionPtr revIDLastSave="0" documentId="13_ncr:1_{A72DCAA9-A56F-564D-A12A-29D2534A6D81}" xr6:coauthVersionLast="47" xr6:coauthVersionMax="47" xr10:uidLastSave="{00000000-0000-0000-0000-000000000000}"/>
  <bookViews>
    <workbookView xWindow="3740" yWindow="500" windowWidth="28800" windowHeight="17500" firstSheet="4" activeTab="10" xr2:uid="{00000000-000D-0000-FFFF-FFFF00000000}"/>
  </bookViews>
  <sheets>
    <sheet name="各校上线对比【物理】" sheetId="21" r:id="rId1"/>
    <sheet name="各校上线对比【历史】" sheetId="23" r:id="rId2"/>
    <sheet name="前30%均分对比【物理】" sheetId="25" r:id="rId3"/>
    <sheet name="前30%均分对比【历史】" sheetId="26" r:id="rId4"/>
    <sheet name="前50名均分对比【物理】" sheetId="27" r:id="rId5"/>
    <sheet name="前50名均分对比【历史】" sheetId="28" r:id="rId6"/>
    <sheet name="前100名均分对比【物理】" sheetId="29" r:id="rId7"/>
    <sheet name="前100名均分对比【历史】" sheetId="31" r:id="rId8"/>
    <sheet name="前200名均分对比【物理】" sheetId="30" r:id="rId9"/>
    <sheet name="前200名均分对比【历史】" sheetId="32" r:id="rId10"/>
    <sheet name="三校学科均衡度对比" sheetId="3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<sst xmlns="http://schemas.openxmlformats.org/spreadsheetml/2006/main" count="151" uniqueCount="41">
  <si>
    <t>总分</t>
  </si>
  <si>
    <t>语文</t>
  </si>
  <si>
    <t>数学</t>
  </si>
  <si>
    <t>英语</t>
  </si>
  <si>
    <t>物理</t>
  </si>
  <si>
    <t>历史</t>
  </si>
  <si>
    <t>物理类</t>
    <phoneticPr fontId="1" type="noConversion"/>
  </si>
  <si>
    <t>教学单位</t>
  </si>
  <si>
    <t>清北</t>
  </si>
  <si>
    <t>一本</t>
  </si>
  <si>
    <t>武昌实验中学</t>
  </si>
  <si>
    <t>襄阳五中</t>
  </si>
  <si>
    <t>武汉汉阳一中</t>
  </si>
  <si>
    <t>武汉洪山高中</t>
  </si>
  <si>
    <t>武汉江夏一中</t>
  </si>
  <si>
    <t>华武</t>
    <phoneticPr fontId="1" type="noConversion"/>
  </si>
  <si>
    <t>高优</t>
    <phoneticPr fontId="1" type="noConversion"/>
  </si>
  <si>
    <t>化学</t>
  </si>
  <si>
    <t>生物</t>
  </si>
  <si>
    <t>政治</t>
  </si>
  <si>
    <t>地理</t>
  </si>
  <si>
    <r>
      <rPr>
        <sz val="14"/>
        <rFont val="微软雅黑"/>
        <family val="2"/>
        <charset val="134"/>
      </rPr>
      <t>武昌实验中学</t>
    </r>
    <phoneticPr fontId="6" type="noConversion"/>
  </si>
  <si>
    <r>
      <rPr>
        <sz val="14"/>
        <rFont val="微软雅黑"/>
        <family val="2"/>
        <charset val="134"/>
      </rPr>
      <t>汉阳一中</t>
    </r>
    <phoneticPr fontId="6" type="noConversion"/>
  </si>
  <si>
    <r>
      <rPr>
        <sz val="14"/>
        <rFont val="微软雅黑"/>
        <family val="2"/>
        <charset val="134"/>
      </rPr>
      <t>洪山高中</t>
    </r>
    <phoneticPr fontId="6" type="noConversion"/>
  </si>
  <si>
    <t/>
  </si>
  <si>
    <r>
      <rPr>
        <sz val="14"/>
        <rFont val="微软雅黑"/>
        <family val="2"/>
        <charset val="134"/>
      </rPr>
      <t>江夏一中</t>
    </r>
    <phoneticPr fontId="6" type="noConversion"/>
  </si>
  <si>
    <r>
      <rPr>
        <sz val="14"/>
        <rFont val="Arial"/>
        <family val="2"/>
      </rPr>
      <t>襄阳四中</t>
    </r>
  </si>
  <si>
    <r>
      <rPr>
        <sz val="14"/>
        <rFont val="Arial"/>
        <family val="2"/>
      </rPr>
      <t>襄阳五中</t>
    </r>
  </si>
  <si>
    <r>
      <rPr>
        <sz val="12"/>
        <rFont val="Arial"/>
        <family val="2"/>
      </rPr>
      <t>教学单位</t>
    </r>
  </si>
  <si>
    <r>
      <rPr>
        <sz val="12"/>
        <rFont val="Arial"/>
        <family val="2"/>
      </rPr>
      <t>参考人数</t>
    </r>
  </si>
  <si>
    <r>
      <rPr>
        <sz val="12"/>
        <rFont val="Arial"/>
        <family val="2"/>
      </rPr>
      <t>襄阳五中</t>
    </r>
  </si>
  <si>
    <r>
      <rPr>
        <sz val="12"/>
        <rFont val="Arial"/>
        <family val="2"/>
      </rPr>
      <t>襄阳四中</t>
    </r>
  </si>
  <si>
    <r>
      <rPr>
        <sz val="12"/>
        <rFont val="Arial"/>
        <family val="2"/>
      </rPr>
      <t>武昌实验中学</t>
    </r>
  </si>
  <si>
    <t>洪山高中</t>
    <phoneticPr fontId="6" type="noConversion"/>
  </si>
  <si>
    <t>江夏一中</t>
    <phoneticPr fontId="6" type="noConversion"/>
  </si>
  <si>
    <t>汉阳一中</t>
    <phoneticPr fontId="6" type="noConversion"/>
  </si>
  <si>
    <t>总分（赋）</t>
  </si>
  <si>
    <t>化学（赋）</t>
  </si>
  <si>
    <t>生物（赋）</t>
  </si>
  <si>
    <t>政治（赋）</t>
  </si>
  <si>
    <t>地理（赋）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</si>
</sst>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"/>
    <numFmt numFmtId="177" formatCode="0.0%"/>
  </numFmts>
  <fonts count="1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4"/>
      <name val="Times New Roman"/>
      <family val="1"/>
    </font>
    <font>
      <sz val="14"/>
      <name val="SimSun"/>
      <family val="1"/>
      <charset val="134"/>
    </font>
    <font>
      <sz val="14"/>
      <name val="微软雅黑"/>
      <family val="2"/>
      <charset val="134"/>
    </font>
    <font>
      <sz val="9"/>
      <name val="宋体"/>
      <family val="3"/>
      <charset val="134"/>
    </font>
    <font>
      <sz val="14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sz val="12"/>
      <name val="微软雅黑"/>
      <family val="2"/>
      <charset val="134"/>
    </font>
    <font>
      <b/>
      <sz val="8"/>
      <color rgb="FF000000"/>
      <name val="宋体"/>
      <family val="3"/>
      <charset val="134"/>
    </font>
    <font>
      <sz val="8"/>
      <color rgb="FF000000"/>
      <name val="宋体"/>
      <family val="3"/>
      <charset val="134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9" fontId="0" fillId="0" borderId="0" xfId="1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0" fontId="3" fillId="0" borderId="3" xfId="0" applyNumberFormat="1" applyFont="1" applyBorder="1" applyAlignment="1">
      <alignment horizontal="center" vertical="center" wrapText="1"/>
    </xf>
    <xf numFmtId="9" fontId="3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0" fontId="8" fillId="0" borderId="3" xfId="0" applyNumberFormat="1" applyFont="1" applyBorder="1" applyAlignment="1">
      <alignment horizontal="center" vertical="center" wrapText="1"/>
    </xf>
    <xf numFmtId="9" fontId="8" fillId="0" borderId="3" xfId="0" applyNumberFormat="1" applyFont="1" applyBorder="1" applyAlignment="1">
      <alignment horizontal="center" vertical="center" wrapText="1"/>
    </xf>
    <xf numFmtId="177" fontId="8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4" xfId="0" applyFont="1" applyFill="1" applyBorder="1">
      <alignment vertical="center"/>
    </xf>
  </cellXfs>
  <cellStyles count="2"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zh-CN" altLang="en-US"/>
              <a:t>部分学校上线对比（物理类）</a:t>
            </a:r>
            <a:endParaRPr lang="zh-CN"/>
          </a:p>
        </c:rich>
      </c:tx>
      <c:overlay val="0"/>
      <c:spPr>
        <a:noFill/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各校上线对比【物理】!$B$4</c:f>
              <c:strCache>
                <c:ptCount val="1"/>
                <c:pt idx="0">
                  <c:v>清北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3498D4B-74AC-5846-9C81-82B48089F0A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75D9-2146-A66D-BF5B623F928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ED5456E-2B01-7F4C-87AA-0368DB03281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5D9-2146-A66D-BF5B623F928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B511E83-3BEA-D14A-A321-50CD3FDBBF4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5D9-2146-A66D-BF5B623F928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C3459F9-F1DC-4B4E-A643-3A2EB83BFA6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75D9-2146-A66D-BF5B623F928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D38F839-F5FF-2940-B6B4-0F39EFFCB82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5D9-2146-A66D-BF5B623F928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9E89DEC-F268-024D-B830-A48A76D3F0F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75D9-2146-A66D-BF5B623F9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各校上线对比【物理】!$A$5:$A$10</c:f>
              <c:strCache>
                <c:ptCount val="6"/>
                <c:pt idx="0">
                  <c:v>襄阳四中</c:v>
                </c:pt>
                <c:pt idx="1">
                  <c:v>襄阳五中</c:v>
                </c:pt>
                <c:pt idx="2">
                  <c:v>武昌实验中学</c:v>
                </c:pt>
                <c:pt idx="3">
                  <c:v>汉阳一中</c:v>
                </c:pt>
                <c:pt idx="4">
                  <c:v>江夏一中</c:v>
                </c:pt>
                <c:pt idx="5">
                  <c:v>洪山高中</c:v>
                </c:pt>
              </c:strCache>
            </c:strRef>
          </c:cat>
          <c:val>
            <c:numRef>
              <c:f>各校上线对比【物理】!$F$5:$F$10</c:f>
              <c:numCache>
                <c:formatCode>0.00%</c:formatCode>
                <c:ptCount val="6"/>
                <c:pt idx="0">
                  <c:v>1.3099999167025089E-2</c:v>
                </c:pt>
                <c:pt idx="1">
                  <c:v>1.3300000689923763E-2</c:v>
                </c:pt>
                <c:pt idx="2">
                  <c:v>3.7799999117851257E-2</c:v>
                </c:pt>
                <c:pt idx="3">
                  <c:v>5.7999999262392521E-3</c:v>
                </c:pt>
                <c:pt idx="4">
                  <c:v>2.3000000510364771E-3</c:v>
                </c:pt>
                <c:pt idx="5" formatCode="0%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各校上线对比【物理】!$B$5:$B$10</c15:f>
                <c15:dlblRangeCache>
                  <c:ptCount val="6"/>
                  <c:pt idx="0">
                    <c:v>23</c:v>
                  </c:pt>
                  <c:pt idx="1">
                    <c:v>19</c:v>
                  </c:pt>
                  <c:pt idx="2">
                    <c:v>17</c:v>
                  </c:pt>
                  <c:pt idx="3">
                    <c:v>3</c:v>
                  </c:pt>
                  <c:pt idx="4">
                    <c:v>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5D9-2146-A66D-BF5B623F9288}"/>
            </c:ext>
          </c:extLst>
        </c:ser>
        <c:ser>
          <c:idx val="1"/>
          <c:order val="1"/>
          <c:tx>
            <c:strRef>
              <c:f>各校上线对比【物理】!$C$4</c:f>
              <c:strCache>
                <c:ptCount val="1"/>
                <c:pt idx="0">
                  <c:v>华武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455FE80-46FA-1049-A204-A75688667B8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5D9-2146-A66D-BF5B623F928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E1EFDF1-E9B8-6B46-8ECB-03BFC5705B7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5D9-2146-A66D-BF5B623F928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D971EC8-5058-FD49-BA46-4A54E8D5247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5D9-2146-A66D-BF5B623F928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E5FB702-752E-CF46-A84D-9FA1188C12E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5D9-2146-A66D-BF5B623F928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4E40DE9-AFA6-EB40-A860-5F23FB09A00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5D9-2146-A66D-BF5B623F928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A14E129-AC2A-1C42-876A-7B00E064439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5D9-2146-A66D-BF5B623F9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各校上线对比【物理】!$A$5:$A$10</c:f>
              <c:strCache>
                <c:ptCount val="6"/>
                <c:pt idx="0">
                  <c:v>襄阳四中</c:v>
                </c:pt>
                <c:pt idx="1">
                  <c:v>襄阳五中</c:v>
                </c:pt>
                <c:pt idx="2">
                  <c:v>武昌实验中学</c:v>
                </c:pt>
                <c:pt idx="3">
                  <c:v>汉阳一中</c:v>
                </c:pt>
                <c:pt idx="4">
                  <c:v>江夏一中</c:v>
                </c:pt>
                <c:pt idx="5">
                  <c:v>洪山高中</c:v>
                </c:pt>
              </c:strCache>
            </c:strRef>
          </c:cat>
          <c:val>
            <c:numRef>
              <c:f>各校上线对比【物理】!$G$5:$G$10</c:f>
              <c:numCache>
                <c:formatCode>0.00%</c:formatCode>
                <c:ptCount val="6"/>
                <c:pt idx="0">
                  <c:v>0.17839999496936798</c:v>
                </c:pt>
                <c:pt idx="1">
                  <c:v>0.18040001392364502</c:v>
                </c:pt>
                <c:pt idx="2">
                  <c:v>0.491100013256073</c:v>
                </c:pt>
                <c:pt idx="3">
                  <c:v>9.0600006282329559E-2</c:v>
                </c:pt>
                <c:pt idx="4">
                  <c:v>5.9399999678134918E-2</c:v>
                </c:pt>
                <c:pt idx="5">
                  <c:v>0.10869999974966049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各校上线对比【物理】!$C$5:$C$10</c15:f>
                <c15:dlblRangeCache>
                  <c:ptCount val="6"/>
                  <c:pt idx="0">
                    <c:v>314</c:v>
                  </c:pt>
                  <c:pt idx="1">
                    <c:v>258</c:v>
                  </c:pt>
                  <c:pt idx="2">
                    <c:v>221</c:v>
                  </c:pt>
                  <c:pt idx="3">
                    <c:v>47</c:v>
                  </c:pt>
                  <c:pt idx="4">
                    <c:v>51</c:v>
                  </c:pt>
                  <c:pt idx="5">
                    <c:v>56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75D9-2146-A66D-BF5B623F9288}"/>
            </c:ext>
          </c:extLst>
        </c:ser>
        <c:ser>
          <c:idx val="2"/>
          <c:order val="2"/>
          <c:tx>
            <c:strRef>
              <c:f>各校上线对比【物理】!$D$4</c:f>
              <c:strCache>
                <c:ptCount val="1"/>
                <c:pt idx="0">
                  <c:v>高优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2224C93-8BDF-F445-BA6F-7377EE27FDE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75D9-2146-A66D-BF5B623F928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2263474-D0D8-EC48-A888-9DE3A0C75D2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5D9-2146-A66D-BF5B623F928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0D96F4F-BDDC-3241-8D3C-0CE5EA811AB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5D9-2146-A66D-BF5B623F928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68FBD77-6096-2749-8D7F-98DCCB4A082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5D9-2146-A66D-BF5B623F928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8FC7A2C-9C33-9C4C-B511-473561D0089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5D9-2146-A66D-BF5B623F928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785E01C-E877-1843-824E-2FA91B58DEB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5D9-2146-A66D-BF5B623F9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各校上线对比【物理】!$A$5:$A$10</c:f>
              <c:strCache>
                <c:ptCount val="6"/>
                <c:pt idx="0">
                  <c:v>襄阳四中</c:v>
                </c:pt>
                <c:pt idx="1">
                  <c:v>襄阳五中</c:v>
                </c:pt>
                <c:pt idx="2">
                  <c:v>武昌实验中学</c:v>
                </c:pt>
                <c:pt idx="3">
                  <c:v>汉阳一中</c:v>
                </c:pt>
                <c:pt idx="4">
                  <c:v>江夏一中</c:v>
                </c:pt>
                <c:pt idx="5">
                  <c:v>洪山高中</c:v>
                </c:pt>
              </c:strCache>
            </c:strRef>
          </c:cat>
          <c:val>
            <c:numRef>
              <c:f>各校上线对比【物理】!$H$5:$H$10</c:f>
              <c:numCache>
                <c:formatCode>0.00%</c:formatCode>
                <c:ptCount val="6"/>
                <c:pt idx="0">
                  <c:v>0.45340001583099365</c:v>
                </c:pt>
                <c:pt idx="1">
                  <c:v>0.41049998998641968</c:v>
                </c:pt>
                <c:pt idx="2">
                  <c:v>0.8310999870300293</c:v>
                </c:pt>
                <c:pt idx="3">
                  <c:v>0.30829998850822449</c:v>
                </c:pt>
                <c:pt idx="4">
                  <c:v>0.19910000264644623</c:v>
                </c:pt>
                <c:pt idx="5">
                  <c:v>0.44849997758865356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各校上线对比【物理】!$D$5:$D$10</c15:f>
                <c15:dlblRangeCache>
                  <c:ptCount val="6"/>
                  <c:pt idx="0">
                    <c:v>798</c:v>
                  </c:pt>
                  <c:pt idx="1">
                    <c:v>587</c:v>
                  </c:pt>
                  <c:pt idx="2">
                    <c:v>374</c:v>
                  </c:pt>
                  <c:pt idx="3">
                    <c:v>160</c:v>
                  </c:pt>
                  <c:pt idx="4">
                    <c:v>171</c:v>
                  </c:pt>
                  <c:pt idx="5">
                    <c:v>231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75D9-2146-A66D-BF5B623F9288}"/>
            </c:ext>
          </c:extLst>
        </c:ser>
        <c:ser>
          <c:idx val="3"/>
          <c:order val="3"/>
          <c:tx>
            <c:strRef>
              <c:f>各校上线对比【物理】!$E$4</c:f>
              <c:strCache>
                <c:ptCount val="1"/>
                <c:pt idx="0">
                  <c:v>一本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0EBE871-D6F1-1E49-AD67-BA8615955F4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75D9-2146-A66D-BF5B623F928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0DB4BAB-897A-C046-894A-12F010E9C19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5D9-2146-A66D-BF5B623F928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6E2DB4B-4EB8-1D4A-AB89-04FCDBCB038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5D9-2146-A66D-BF5B623F928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5B0059E-268F-E749-939B-8DE2E635047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5D9-2146-A66D-BF5B623F928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365D7E7-5279-0840-BC4E-174940396F2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75D9-2146-A66D-BF5B623F928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C898CB3-B92C-E649-9AAC-3C50CB1DAC8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5D9-2146-A66D-BF5B623F9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各校上线对比【物理】!$A$5:$A$10</c:f>
              <c:strCache>
                <c:ptCount val="6"/>
                <c:pt idx="0">
                  <c:v>襄阳四中</c:v>
                </c:pt>
                <c:pt idx="1">
                  <c:v>襄阳五中</c:v>
                </c:pt>
                <c:pt idx="2">
                  <c:v>武昌实验中学</c:v>
                </c:pt>
                <c:pt idx="3">
                  <c:v>汉阳一中</c:v>
                </c:pt>
                <c:pt idx="4">
                  <c:v>江夏一中</c:v>
                </c:pt>
                <c:pt idx="5">
                  <c:v>洪山高中</c:v>
                </c:pt>
              </c:strCache>
            </c:strRef>
          </c:cat>
          <c:val>
            <c:numRef>
              <c:f>各校上线对比【物理】!$I$5:$I$10</c:f>
              <c:numCache>
                <c:formatCode>0%</c:formatCode>
                <c:ptCount val="6"/>
                <c:pt idx="0" formatCode="0.0%">
                  <c:v>0.90400004386901855</c:v>
                </c:pt>
                <c:pt idx="1">
                  <c:v>0.9</c:v>
                </c:pt>
                <c:pt idx="2" formatCode="0.00%">
                  <c:v>0.98440003395080566</c:v>
                </c:pt>
                <c:pt idx="3" formatCode="0.00%">
                  <c:v>0.85740000009536743</c:v>
                </c:pt>
                <c:pt idx="4" formatCode="0.00%">
                  <c:v>0.67750000953674316</c:v>
                </c:pt>
                <c:pt idx="5" formatCode="0.00%">
                  <c:v>0.92040002346038818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各校上线对比【物理】!$E$5:$E$10</c15:f>
                <c15:dlblRangeCache>
                  <c:ptCount val="6"/>
                  <c:pt idx="0">
                    <c:v>1591</c:v>
                  </c:pt>
                  <c:pt idx="1">
                    <c:v>1287</c:v>
                  </c:pt>
                  <c:pt idx="2">
                    <c:v>443</c:v>
                  </c:pt>
                  <c:pt idx="3">
                    <c:v>445</c:v>
                  </c:pt>
                  <c:pt idx="4">
                    <c:v>582</c:v>
                  </c:pt>
                  <c:pt idx="5">
                    <c:v>474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75D9-2146-A66D-BF5B623F9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30"/>
        <c:axId val="625344352"/>
        <c:axId val="625346080"/>
      </c:barChart>
      <c:catAx>
        <c:axId val="62534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5346080"/>
        <c:crosses val="autoZero"/>
        <c:auto val="1"/>
        <c:lblAlgn val="ctr"/>
        <c:lblOffset val="100"/>
        <c:noMultiLvlLbl val="0"/>
      </c:catAx>
      <c:valAx>
        <c:axId val="625346080"/>
        <c:scaling>
          <c:orientation val="minMax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crossAx val="62534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ea"/>
                <a:ea typeface="+mn-ea"/>
                <a:cs typeface="+mn-cs"/>
              </a:defRPr>
            </a:pPr>
            <a:r>
              <a:rPr lang="zh-CN" alt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部分学校上线对比（历史类）</a:t>
            </a:r>
            <a:endParaRPr lang="zh-CN" altLang="zh-CN" sz="2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ea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各校上线对比【历史】!$F$1</c:f>
              <c:strCache>
                <c:ptCount val="1"/>
                <c:pt idx="0">
                  <c:v>清北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A7586E9-532C-0D48-B67F-EA71AB20637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C288-4543-B7B8-CB6DC6A8316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1C92A15-E964-D44B-818A-A941D2BB0D9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C288-4543-B7B8-CB6DC6A8316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C947A21-43C2-BF4E-B0A0-278252CF332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C288-4543-B7B8-CB6DC6A8316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3F08D6D-F313-0D42-9707-FEF93BF5080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C288-4543-B7B8-CB6DC6A8316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D851C39-441B-8A4D-883C-DF6CF7ABA95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C288-4543-B7B8-CB6DC6A8316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68883B0-C5E2-554D-B165-613D4625A4C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C288-4543-B7B8-CB6DC6A831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各校上线对比【历史】!$A$2:$A$7</c:f>
              <c:strCache>
                <c:ptCount val="6"/>
                <c:pt idx="0">
                  <c:v>襄阳五中</c:v>
                </c:pt>
                <c:pt idx="1">
                  <c:v>襄阳四中</c:v>
                </c:pt>
                <c:pt idx="2">
                  <c:v>武昌实验中学</c:v>
                </c:pt>
                <c:pt idx="3">
                  <c:v>洪山高中</c:v>
                </c:pt>
                <c:pt idx="4">
                  <c:v>江夏一中</c:v>
                </c:pt>
                <c:pt idx="5">
                  <c:v>汉阳一中</c:v>
                </c:pt>
              </c:strCache>
            </c:strRef>
          </c:cat>
          <c:val>
            <c:numRef>
              <c:f>各校上线对比【历史】!$F$2:$F$7</c:f>
              <c:numCache>
                <c:formatCode>0.00%</c:formatCode>
                <c:ptCount val="6"/>
                <c:pt idx="0">
                  <c:v>1.3099999167025089E-2</c:v>
                </c:pt>
                <c:pt idx="1">
                  <c:v>1.3300000689923763E-2</c:v>
                </c:pt>
                <c:pt idx="2" formatCode="0%">
                  <c:v>0</c:v>
                </c:pt>
                <c:pt idx="3" formatCode="0%">
                  <c:v>0</c:v>
                </c:pt>
                <c:pt idx="4" formatCode="0%">
                  <c:v>0</c:v>
                </c:pt>
                <c:pt idx="5" formatCode="0%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各校上线对比【历史】!$B$2:$B$7</c15:f>
                <c15:dlblRangeCache>
                  <c:ptCount val="6"/>
                  <c:pt idx="0">
                    <c:v>6</c:v>
                  </c:pt>
                  <c:pt idx="1">
                    <c:v>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288-4543-B7B8-CB6DC6A8316B}"/>
            </c:ext>
          </c:extLst>
        </c:ser>
        <c:ser>
          <c:idx val="1"/>
          <c:order val="1"/>
          <c:tx>
            <c:strRef>
              <c:f>各校上线对比【历史】!$G$1</c:f>
              <c:strCache>
                <c:ptCount val="1"/>
                <c:pt idx="0">
                  <c:v>华武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F605D15-9C39-1C41-A8CB-95047A46BB8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C288-4543-B7B8-CB6DC6A8316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2CF9C3A-F2D9-D446-88AD-42FD5F90B23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C288-4543-B7B8-CB6DC6A8316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785FAF7-26FE-E941-ACC3-799FC6DB7E6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C288-4543-B7B8-CB6DC6A8316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DF5608B-42CB-5E44-91C5-E36503A457D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C288-4543-B7B8-CB6DC6A8316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5CD412B-F33F-A641-B8A1-44B05D24B19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C288-4543-B7B8-CB6DC6A8316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07A7499-A070-2A43-9CA8-FB94C2F6E1F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C288-4543-B7B8-CB6DC6A831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各校上线对比【历史】!$A$2:$A$7</c:f>
              <c:strCache>
                <c:ptCount val="6"/>
                <c:pt idx="0">
                  <c:v>襄阳五中</c:v>
                </c:pt>
                <c:pt idx="1">
                  <c:v>襄阳四中</c:v>
                </c:pt>
                <c:pt idx="2">
                  <c:v>武昌实验中学</c:v>
                </c:pt>
                <c:pt idx="3">
                  <c:v>洪山高中</c:v>
                </c:pt>
                <c:pt idx="4">
                  <c:v>江夏一中</c:v>
                </c:pt>
                <c:pt idx="5">
                  <c:v>汉阳一中</c:v>
                </c:pt>
              </c:strCache>
            </c:strRef>
          </c:cat>
          <c:val>
            <c:numRef>
              <c:f>各校上线对比【历史】!$G$2:$G$7</c:f>
              <c:numCache>
                <c:formatCode>0.00%</c:formatCode>
                <c:ptCount val="6"/>
                <c:pt idx="0">
                  <c:v>0.273499995470047</c:v>
                </c:pt>
                <c:pt idx="1">
                  <c:v>0.29709997773170471</c:v>
                </c:pt>
                <c:pt idx="2">
                  <c:v>0.64809995889663696</c:v>
                </c:pt>
                <c:pt idx="3">
                  <c:v>0.13949999213218689</c:v>
                </c:pt>
                <c:pt idx="4">
                  <c:v>4.960000142455101E-2</c:v>
                </c:pt>
                <c:pt idx="5">
                  <c:v>1.0199999436736107E-2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各校上线对比【历史】!$C$2:$C$7</c15:f>
                <c15:dlblRangeCache>
                  <c:ptCount val="6"/>
                  <c:pt idx="0">
                    <c:v>125</c:v>
                  </c:pt>
                  <c:pt idx="1">
                    <c:v>112</c:v>
                  </c:pt>
                  <c:pt idx="2">
                    <c:v>35</c:v>
                  </c:pt>
                  <c:pt idx="3">
                    <c:v>12</c:v>
                  </c:pt>
                  <c:pt idx="4">
                    <c:v>6</c:v>
                  </c:pt>
                  <c:pt idx="5">
                    <c:v>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C288-4543-B7B8-CB6DC6A8316B}"/>
            </c:ext>
          </c:extLst>
        </c:ser>
        <c:ser>
          <c:idx val="2"/>
          <c:order val="2"/>
          <c:tx>
            <c:strRef>
              <c:f>各校上线对比【历史】!$H$1</c:f>
              <c:strCache>
                <c:ptCount val="1"/>
                <c:pt idx="0">
                  <c:v>高优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ACFB375-060C-5646-8047-7E0A64DEE26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C288-4543-B7B8-CB6DC6A8316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B810F70-091A-7E41-B524-1C5E6443BDD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C288-4543-B7B8-CB6DC6A8316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1E127A5-C1E8-B349-8816-908F89ECDD4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C288-4543-B7B8-CB6DC6A8316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84B3A34-36A4-184D-9DE3-EB0DF1C0AE7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C288-4543-B7B8-CB6DC6A8316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6ED85A3-CFFA-8D4B-89C1-5D2396BEBDC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C288-4543-B7B8-CB6DC6A8316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AF8C206-A93C-A34F-88DA-5B5BF6A7BDF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C288-4543-B7B8-CB6DC6A831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各校上线对比【历史】!$A$2:$A$7</c:f>
              <c:strCache>
                <c:ptCount val="6"/>
                <c:pt idx="0">
                  <c:v>襄阳五中</c:v>
                </c:pt>
                <c:pt idx="1">
                  <c:v>襄阳四中</c:v>
                </c:pt>
                <c:pt idx="2">
                  <c:v>武昌实验中学</c:v>
                </c:pt>
                <c:pt idx="3">
                  <c:v>洪山高中</c:v>
                </c:pt>
                <c:pt idx="4">
                  <c:v>江夏一中</c:v>
                </c:pt>
                <c:pt idx="5">
                  <c:v>汉阳一中</c:v>
                </c:pt>
              </c:strCache>
            </c:strRef>
          </c:cat>
          <c:val>
            <c:numRef>
              <c:f>各校上线对比【历史】!$H$2:$H$7</c:f>
              <c:numCache>
                <c:formatCode>0.00%</c:formatCode>
                <c:ptCount val="6"/>
                <c:pt idx="0">
                  <c:v>0.4025999903678894</c:v>
                </c:pt>
                <c:pt idx="1">
                  <c:v>0.41639998555183411</c:v>
                </c:pt>
                <c:pt idx="2">
                  <c:v>0.70370000600814819</c:v>
                </c:pt>
                <c:pt idx="3">
                  <c:v>0.27910000085830688</c:v>
                </c:pt>
                <c:pt idx="4">
                  <c:v>6.6100001335144043E-2</c:v>
                </c:pt>
                <c:pt idx="5" formatCode="0.0%">
                  <c:v>5.0999999046325684E-2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各校上线对比【历史】!$D$2:$D$7</c15:f>
                <c15:dlblRangeCache>
                  <c:ptCount val="6"/>
                  <c:pt idx="0">
                    <c:v>184</c:v>
                  </c:pt>
                  <c:pt idx="1">
                    <c:v>157</c:v>
                  </c:pt>
                  <c:pt idx="2">
                    <c:v>38</c:v>
                  </c:pt>
                  <c:pt idx="3">
                    <c:v>24</c:v>
                  </c:pt>
                  <c:pt idx="4">
                    <c:v>8</c:v>
                  </c:pt>
                  <c:pt idx="5">
                    <c:v>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C288-4543-B7B8-CB6DC6A8316B}"/>
            </c:ext>
          </c:extLst>
        </c:ser>
        <c:ser>
          <c:idx val="3"/>
          <c:order val="3"/>
          <c:tx>
            <c:strRef>
              <c:f>各校上线对比【历史】!$I$1</c:f>
              <c:strCache>
                <c:ptCount val="1"/>
                <c:pt idx="0">
                  <c:v>一本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5F9BDD2-0D23-9741-8E2A-88C4F836F11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C288-4543-B7B8-CB6DC6A8316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55364E8-118C-F64F-9D48-78AF6D21175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C288-4543-B7B8-CB6DC6A8316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F4266E3-D8A5-7840-BBA8-6B6ABD46F3D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C288-4543-B7B8-CB6DC6A8316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1F77746-1495-1B4A-8C0E-C0A6B2D1524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C288-4543-B7B8-CB6DC6A8316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CE075DD-712C-A241-BEE9-4B40EA13BA7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C288-4543-B7B8-CB6DC6A8316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6CFA750-BA77-B042-A88B-80326E00329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C288-4543-B7B8-CB6DC6A831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各校上线对比【历史】!$A$2:$A$7</c:f>
              <c:strCache>
                <c:ptCount val="6"/>
                <c:pt idx="0">
                  <c:v>襄阳五中</c:v>
                </c:pt>
                <c:pt idx="1">
                  <c:v>襄阳四中</c:v>
                </c:pt>
                <c:pt idx="2">
                  <c:v>武昌实验中学</c:v>
                </c:pt>
                <c:pt idx="3">
                  <c:v>洪山高中</c:v>
                </c:pt>
                <c:pt idx="4">
                  <c:v>江夏一中</c:v>
                </c:pt>
                <c:pt idx="5">
                  <c:v>汉阳一中</c:v>
                </c:pt>
              </c:strCache>
            </c:strRef>
          </c:cat>
          <c:val>
            <c:numRef>
              <c:f>各校上线对比【历史】!$I$2:$I$7</c:f>
              <c:numCache>
                <c:formatCode>0.00%</c:formatCode>
                <c:ptCount val="6"/>
                <c:pt idx="0">
                  <c:v>0.92559999227523804</c:v>
                </c:pt>
                <c:pt idx="1">
                  <c:v>0.89389997720718384</c:v>
                </c:pt>
                <c:pt idx="2" formatCode="0.0%">
                  <c:v>0.96300005912780762</c:v>
                </c:pt>
                <c:pt idx="3">
                  <c:v>0.8487999439239502</c:v>
                </c:pt>
                <c:pt idx="4">
                  <c:v>0.53720003366470337</c:v>
                </c:pt>
                <c:pt idx="5">
                  <c:v>0.46939998865127563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各校上线对比【历史】!$E$2:$E$7</c15:f>
                <c15:dlblRangeCache>
                  <c:ptCount val="6"/>
                  <c:pt idx="0">
                    <c:v>423</c:v>
                  </c:pt>
                  <c:pt idx="1">
                    <c:v>337</c:v>
                  </c:pt>
                  <c:pt idx="2">
                    <c:v>52</c:v>
                  </c:pt>
                  <c:pt idx="3">
                    <c:v>73</c:v>
                  </c:pt>
                  <c:pt idx="4">
                    <c:v>65</c:v>
                  </c:pt>
                  <c:pt idx="5">
                    <c:v>46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C288-4543-B7B8-CB6DC6A83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30"/>
        <c:axId val="1553269856"/>
        <c:axId val="1553274176"/>
      </c:barChart>
      <c:catAx>
        <c:axId val="155326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ea"/>
                <a:ea typeface="+mn-ea"/>
                <a:cs typeface="+mn-cs"/>
              </a:defRPr>
            </a:pPr>
            <a:endParaRPr lang="zh-CN"/>
          </a:p>
        </c:txPr>
        <c:crossAx val="1553274176"/>
        <c:crosses val="autoZero"/>
        <c:auto val="1"/>
        <c:lblAlgn val="ctr"/>
        <c:lblOffset val="100"/>
        <c:noMultiLvlLbl val="0"/>
      </c:catAx>
      <c:valAx>
        <c:axId val="15532741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55326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ea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>
          <a:latin typeface="+mn-ea"/>
          <a:ea typeface="+mn-ea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zh-CN" altLang="en-US"/>
              <a:t>部分学校前</a:t>
            </a:r>
            <a:r>
              <a:rPr lang="en-US" altLang="zh-CN"/>
              <a:t>30%</a:t>
            </a:r>
            <a:r>
              <a:rPr lang="zh-CN" altLang="en-US"/>
              <a:t>均分对比（物理类）</a:t>
            </a:r>
            <a:endParaRPr lang="zh-CN"/>
          </a:p>
        </c:rich>
      </c:tx>
      <c:overlay val="0"/>
      <c:spPr>
        <a:noFill/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'前30%均分对比【物理】'!$C$1</c:f>
              <c:strCache>
                <c:ptCount val="1"/>
                <c:pt idx="0">
                  <c:v>语文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'前30%均分对比【物理】'!$A$2:$A$6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武汉洪山高中</c:v>
                </c:pt>
                <c:pt idx="3">
                  <c:v>武汉汉阳一中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'前30%均分对比【物理】'!$C$2:$C$6</c:f>
              <c:numCache>
                <c:formatCode>0.0</c:formatCode>
                <c:ptCount val="5"/>
                <c:pt idx="0">
                  <c:v>109.81</c:v>
                </c:pt>
                <c:pt idx="1">
                  <c:v>108.42</c:v>
                </c:pt>
                <c:pt idx="2">
                  <c:v>106.03</c:v>
                </c:pt>
                <c:pt idx="3">
                  <c:v>106.66</c:v>
                </c:pt>
                <c:pt idx="4">
                  <c:v>102.19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BF-364A-A37A-874E32434EC7}"/>
            </c:ext>
          </c:extLst>
        </c:ser>
        <c:ser>
          <c:idx val="2"/>
          <c:order val="1"/>
          <c:tx>
            <c:strRef>
              <c:f>'前30%均分对比【物理】'!$D$1</c:f>
              <c:strCache>
                <c:ptCount val="1"/>
                <c:pt idx="0">
                  <c:v>数学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'前30%均分对比【物理】'!$A$2:$A$6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武汉洪山高中</c:v>
                </c:pt>
                <c:pt idx="3">
                  <c:v>武汉汉阳一中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'前30%均分对比【物理】'!$D$2:$D$6</c:f>
              <c:numCache>
                <c:formatCode>0.0</c:formatCode>
                <c:ptCount val="5"/>
                <c:pt idx="0">
                  <c:v>128.54</c:v>
                </c:pt>
                <c:pt idx="1">
                  <c:v>111.77</c:v>
                </c:pt>
                <c:pt idx="2">
                  <c:v>109.34</c:v>
                </c:pt>
                <c:pt idx="3">
                  <c:v>104</c:v>
                </c:pt>
                <c:pt idx="4">
                  <c:v>99.21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BF-364A-A37A-874E32434EC7}"/>
            </c:ext>
          </c:extLst>
        </c:ser>
        <c:ser>
          <c:idx val="3"/>
          <c:order val="2"/>
          <c:tx>
            <c:strRef>
              <c:f>'前30%均分对比【物理】'!$E$1</c:f>
              <c:strCache>
                <c:ptCount val="1"/>
                <c:pt idx="0">
                  <c:v>英语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'前30%均分对比【物理】'!$A$2:$A$6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武汉洪山高中</c:v>
                </c:pt>
                <c:pt idx="3">
                  <c:v>武汉汉阳一中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'前30%均分对比【物理】'!$E$2:$E$6</c:f>
              <c:numCache>
                <c:formatCode>0.0</c:formatCode>
                <c:ptCount val="5"/>
                <c:pt idx="0">
                  <c:v>132.01</c:v>
                </c:pt>
                <c:pt idx="1">
                  <c:v>128.02000000000001</c:v>
                </c:pt>
                <c:pt idx="2">
                  <c:v>124.73</c:v>
                </c:pt>
                <c:pt idx="3">
                  <c:v>123.05</c:v>
                </c:pt>
                <c:pt idx="4">
                  <c:v>119.58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BF-364A-A37A-874E32434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30"/>
        <c:axId val="625577168"/>
        <c:axId val="625578880"/>
      </c:barChart>
      <c:lineChart>
        <c:grouping val="standard"/>
        <c:varyColors val="0"/>
        <c:ser>
          <c:idx val="0"/>
          <c:order val="3"/>
          <c:tx>
            <c:strRef>
              <c:f>'前30%均分对比【物理】'!$B$1</c:f>
              <c:strCache>
                <c:ptCount val="1"/>
                <c:pt idx="0">
                  <c:v>总分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8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'前30%均分对比【物理】'!$A$2:$A$6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武汉洪山高中</c:v>
                </c:pt>
                <c:pt idx="3">
                  <c:v>武汉汉阳一中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'前30%均分对比【物理】'!$B$2:$B$6</c:f>
              <c:numCache>
                <c:formatCode>0.0</c:formatCode>
                <c:ptCount val="5"/>
                <c:pt idx="0">
                  <c:v>637.30999999999995</c:v>
                </c:pt>
                <c:pt idx="1">
                  <c:v>604.1</c:v>
                </c:pt>
                <c:pt idx="2">
                  <c:v>587.57000000000005</c:v>
                </c:pt>
                <c:pt idx="3">
                  <c:v>579.36</c:v>
                </c:pt>
                <c:pt idx="4">
                  <c:v>563.35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BF-364A-A37A-874E32434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5718624"/>
        <c:axId val="625715664"/>
      </c:lineChart>
      <c:catAx>
        <c:axId val="62557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5578880"/>
        <c:crosses val="autoZero"/>
        <c:auto val="1"/>
        <c:lblAlgn val="ctr"/>
        <c:lblOffset val="100"/>
        <c:noMultiLvlLbl val="0"/>
      </c:catAx>
      <c:valAx>
        <c:axId val="625578880"/>
        <c:scaling>
          <c:orientation val="minMax"/>
          <c:max val="16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noFill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5577168"/>
        <c:crosses val="autoZero"/>
        <c:crossBetween val="between"/>
      </c:valAx>
      <c:valAx>
        <c:axId val="625715664"/>
        <c:scaling>
          <c:orientation val="minMax"/>
          <c:max val="650"/>
          <c:min val="40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noFill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5718624"/>
        <c:crosses val="max"/>
        <c:crossBetween val="between"/>
      </c:valAx>
      <c:catAx>
        <c:axId val="625718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5715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zh-CN" alt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部分学校前</a:t>
            </a:r>
            <a:r>
              <a:rPr lang="en-US" altLang="zh-CN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30%</a:t>
            </a:r>
            <a:r>
              <a:rPr lang="zh-CN" alt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均分对比（物理类）</a:t>
            </a:r>
            <a:endParaRPr lang="zh-CN" altLang="zh-CN" sz="2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'前30%均分对比【物理】'!$F$1</c:f>
              <c:strCache>
                <c:ptCount val="1"/>
                <c:pt idx="0">
                  <c:v>物理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'前30%均分对比【物理】'!$A$2:$A$6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武汉洪山高中</c:v>
                </c:pt>
                <c:pt idx="3">
                  <c:v>武汉汉阳一中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'前30%均分对比【物理】'!$F$2:$F$6</c:f>
              <c:numCache>
                <c:formatCode>0.0</c:formatCode>
                <c:ptCount val="5"/>
                <c:pt idx="0">
                  <c:v>85.09</c:v>
                </c:pt>
                <c:pt idx="1">
                  <c:v>79.790000000000006</c:v>
                </c:pt>
                <c:pt idx="2">
                  <c:v>74.38</c:v>
                </c:pt>
                <c:pt idx="3">
                  <c:v>71.239999999999995</c:v>
                </c:pt>
                <c:pt idx="4">
                  <c:v>70.94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B-DB44-936D-0511EE9FFCA8}"/>
            </c:ext>
          </c:extLst>
        </c:ser>
        <c:ser>
          <c:idx val="1"/>
          <c:order val="1"/>
          <c:tx>
            <c:strRef>
              <c:f>'前30%均分对比【物理】'!$G$1</c:f>
              <c:strCache>
                <c:ptCount val="1"/>
                <c:pt idx="0">
                  <c:v>化学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'前30%均分对比【物理】'!$A$2:$A$6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武汉洪山高中</c:v>
                </c:pt>
                <c:pt idx="3">
                  <c:v>武汉汉阳一中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'前30%均分对比【物理】'!$G$2:$G$6</c:f>
              <c:numCache>
                <c:formatCode>0.0</c:formatCode>
                <c:ptCount val="5"/>
                <c:pt idx="0">
                  <c:v>91.81</c:v>
                </c:pt>
                <c:pt idx="1">
                  <c:v>87.93</c:v>
                </c:pt>
                <c:pt idx="2">
                  <c:v>86.74</c:v>
                </c:pt>
                <c:pt idx="3">
                  <c:v>87.49</c:v>
                </c:pt>
                <c:pt idx="4">
                  <c:v>87.03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7B-DB44-936D-0511EE9FFCA8}"/>
            </c:ext>
          </c:extLst>
        </c:ser>
        <c:ser>
          <c:idx val="2"/>
          <c:order val="2"/>
          <c:tx>
            <c:strRef>
              <c:f>'前30%均分对比【物理】'!$H$1</c:f>
              <c:strCache>
                <c:ptCount val="1"/>
                <c:pt idx="0">
                  <c:v>生物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'前30%均分对比【物理】'!$A$2:$A$6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武汉洪山高中</c:v>
                </c:pt>
                <c:pt idx="3">
                  <c:v>武汉汉阳一中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'前30%均分对比【物理】'!$H$2:$H$6</c:f>
              <c:numCache>
                <c:formatCode>0.0</c:formatCode>
                <c:ptCount val="5"/>
                <c:pt idx="0">
                  <c:v>90.09</c:v>
                </c:pt>
                <c:pt idx="1">
                  <c:v>88.08</c:v>
                </c:pt>
                <c:pt idx="2">
                  <c:v>86.39</c:v>
                </c:pt>
                <c:pt idx="3">
                  <c:v>87.03</c:v>
                </c:pt>
                <c:pt idx="4">
                  <c:v>85.05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7B-DB44-936D-0511EE9FFCA8}"/>
            </c:ext>
          </c:extLst>
        </c:ser>
        <c:ser>
          <c:idx val="3"/>
          <c:order val="3"/>
          <c:tx>
            <c:strRef>
              <c:f>'前30%均分对比【物理】'!$I$1</c:f>
              <c:strCache>
                <c:ptCount val="1"/>
                <c:pt idx="0">
                  <c:v>政治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'前30%均分对比【物理】'!$A$2:$A$6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武汉洪山高中</c:v>
                </c:pt>
                <c:pt idx="3">
                  <c:v>武汉汉阳一中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'前30%均分对比【物理】'!$I$2:$I$6</c:f>
              <c:numCache>
                <c:formatCode>0.0</c:formatCode>
                <c:ptCount val="5"/>
                <c:pt idx="0">
                  <c:v>85</c:v>
                </c:pt>
                <c:pt idx="1">
                  <c:v>87.77</c:v>
                </c:pt>
                <c:pt idx="2">
                  <c:v>84.5</c:v>
                </c:pt>
                <c:pt idx="3">
                  <c:v>88.14</c:v>
                </c:pt>
                <c:pt idx="4">
                  <c:v>82.21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7B-DB44-936D-0511EE9FF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30"/>
        <c:axId val="626764672"/>
        <c:axId val="626766384"/>
      </c:barChart>
      <c:catAx>
        <c:axId val="62676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6766384"/>
        <c:crosses val="autoZero"/>
        <c:auto val="1"/>
        <c:lblAlgn val="ctr"/>
        <c:lblOffset val="100"/>
        <c:noMultiLvlLbl val="0"/>
      </c:catAx>
      <c:valAx>
        <c:axId val="626766384"/>
        <c:scaling>
          <c:orientation val="minMax"/>
          <c:min val="6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62676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zh-CN" altLang="en-US"/>
              <a:t>部分学校前</a:t>
            </a:r>
            <a:r>
              <a:rPr lang="en-US" altLang="zh-CN"/>
              <a:t>30%</a:t>
            </a:r>
            <a:r>
              <a:rPr lang="zh-CN" altLang="en-US"/>
              <a:t>均分对比（历史类）</a:t>
            </a:r>
            <a:endParaRPr lang="zh-CN"/>
          </a:p>
        </c:rich>
      </c:tx>
      <c:overlay val="0"/>
      <c:spPr>
        <a:noFill/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'前30%均分对比【物理】'!$C$1</c:f>
              <c:strCache>
                <c:ptCount val="1"/>
                <c:pt idx="0">
                  <c:v>语文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'前30%均分对比【历史】'!$A$2:$A$6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武汉洪山高中</c:v>
                </c:pt>
                <c:pt idx="3">
                  <c:v>武汉江夏一中</c:v>
                </c:pt>
                <c:pt idx="4">
                  <c:v>武汉汉阳一中</c:v>
                </c:pt>
              </c:strCache>
            </c:strRef>
          </c:cat>
          <c:val>
            <c:numRef>
              <c:f>'前30%均分对比【历史】'!$C$2:$C$6</c:f>
              <c:numCache>
                <c:formatCode>0.0</c:formatCode>
                <c:ptCount val="5"/>
                <c:pt idx="0">
                  <c:v>114.56</c:v>
                </c:pt>
                <c:pt idx="1">
                  <c:v>113.45</c:v>
                </c:pt>
                <c:pt idx="2">
                  <c:v>109.66</c:v>
                </c:pt>
                <c:pt idx="3">
                  <c:v>104.75</c:v>
                </c:pt>
                <c:pt idx="4">
                  <c:v>107.19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F-FB4D-AC43-2AB74B1E0047}"/>
            </c:ext>
          </c:extLst>
        </c:ser>
        <c:ser>
          <c:idx val="2"/>
          <c:order val="1"/>
          <c:tx>
            <c:strRef>
              <c:f>'前30%均分对比【物理】'!$D$1</c:f>
              <c:strCache>
                <c:ptCount val="1"/>
                <c:pt idx="0">
                  <c:v>数学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'前30%均分对比【历史】'!$A$2:$A$6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武汉洪山高中</c:v>
                </c:pt>
                <c:pt idx="3">
                  <c:v>武汉江夏一中</c:v>
                </c:pt>
                <c:pt idx="4">
                  <c:v>武汉汉阳一中</c:v>
                </c:pt>
              </c:strCache>
            </c:strRef>
          </c:cat>
          <c:val>
            <c:numRef>
              <c:f>'前30%均分对比【历史】'!$D$2:$D$6</c:f>
              <c:numCache>
                <c:formatCode>0.0</c:formatCode>
                <c:ptCount val="5"/>
                <c:pt idx="0">
                  <c:v>104.66</c:v>
                </c:pt>
                <c:pt idx="1">
                  <c:v>94.79</c:v>
                </c:pt>
                <c:pt idx="2">
                  <c:v>93.08</c:v>
                </c:pt>
                <c:pt idx="3">
                  <c:v>79.69</c:v>
                </c:pt>
                <c:pt idx="4">
                  <c:v>77.53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4F-FB4D-AC43-2AB74B1E0047}"/>
            </c:ext>
          </c:extLst>
        </c:ser>
        <c:ser>
          <c:idx val="3"/>
          <c:order val="2"/>
          <c:tx>
            <c:strRef>
              <c:f>'前30%均分对比【物理】'!$E$1</c:f>
              <c:strCache>
                <c:ptCount val="1"/>
                <c:pt idx="0">
                  <c:v>英语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'前30%均分对比【历史】'!$A$2:$A$6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武汉洪山高中</c:v>
                </c:pt>
                <c:pt idx="3">
                  <c:v>武汉江夏一中</c:v>
                </c:pt>
                <c:pt idx="4">
                  <c:v>武汉汉阳一中</c:v>
                </c:pt>
              </c:strCache>
            </c:strRef>
          </c:cat>
          <c:val>
            <c:numRef>
              <c:f>'前30%均分对比【历史】'!$E$2:$E$6</c:f>
              <c:numCache>
                <c:formatCode>0.0</c:formatCode>
                <c:ptCount val="5"/>
                <c:pt idx="0">
                  <c:v>132.94</c:v>
                </c:pt>
                <c:pt idx="1">
                  <c:v>131.30000000000001</c:v>
                </c:pt>
                <c:pt idx="2">
                  <c:v>130.86000000000001</c:v>
                </c:pt>
                <c:pt idx="3">
                  <c:v>119.24</c:v>
                </c:pt>
                <c:pt idx="4">
                  <c:v>117.95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4F-FB4D-AC43-2AB74B1E0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30"/>
        <c:axId val="625577168"/>
        <c:axId val="625578880"/>
      </c:barChart>
      <c:lineChart>
        <c:grouping val="standard"/>
        <c:varyColors val="0"/>
        <c:ser>
          <c:idx val="0"/>
          <c:order val="3"/>
          <c:tx>
            <c:strRef>
              <c:f>'前30%均分对比【物理】'!$B$1</c:f>
              <c:strCache>
                <c:ptCount val="1"/>
                <c:pt idx="0">
                  <c:v>总分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8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'前30%均分对比【物理】'!$A$2:$A$6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武汉洪山高中</c:v>
                </c:pt>
                <c:pt idx="3">
                  <c:v>武汉汉阳一中</c:v>
                </c:pt>
                <c:pt idx="4">
                  <c:v>武汉江夏一中</c:v>
                </c:pt>
              </c:strCache>
            </c:strRef>
          </c:cat>
          <c:val>
            <c:numRef>
              <c:f>'前30%均分对比【历史】'!$B$2:$B$6</c:f>
              <c:numCache>
                <c:formatCode>0.0</c:formatCode>
                <c:ptCount val="5"/>
                <c:pt idx="0">
                  <c:v>610.80999999999995</c:v>
                </c:pt>
                <c:pt idx="1">
                  <c:v>596.70000000000005</c:v>
                </c:pt>
                <c:pt idx="2">
                  <c:v>578.02</c:v>
                </c:pt>
                <c:pt idx="3">
                  <c:v>546.24</c:v>
                </c:pt>
                <c:pt idx="4">
                  <c:v>539.48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4F-FB4D-AC43-2AB74B1E0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5718624"/>
        <c:axId val="625715664"/>
      </c:lineChart>
      <c:catAx>
        <c:axId val="62557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5578880"/>
        <c:crosses val="autoZero"/>
        <c:auto val="1"/>
        <c:lblAlgn val="ctr"/>
        <c:lblOffset val="100"/>
        <c:noMultiLvlLbl val="0"/>
      </c:catAx>
      <c:valAx>
        <c:axId val="625578880"/>
        <c:scaling>
          <c:orientation val="minMax"/>
          <c:max val="16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noFill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5577168"/>
        <c:crosses val="autoZero"/>
        <c:crossBetween val="between"/>
      </c:valAx>
      <c:valAx>
        <c:axId val="625715664"/>
        <c:scaling>
          <c:orientation val="minMax"/>
          <c:max val="650"/>
          <c:min val="20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noFill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5718624"/>
        <c:crosses val="max"/>
        <c:crossBetween val="between"/>
      </c:valAx>
      <c:catAx>
        <c:axId val="625718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5715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zh-CN" alt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部分学校前</a:t>
            </a:r>
            <a:r>
              <a:rPr lang="en-US" altLang="zh-CN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30%</a:t>
            </a:r>
            <a:r>
              <a:rPr lang="zh-CN" alt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均分对比（历史类）</a:t>
            </a:r>
            <a:endParaRPr lang="zh-CN" altLang="zh-CN" sz="2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'前30%均分对比【历史】'!$F$1</c:f>
              <c:strCache>
                <c:ptCount val="1"/>
                <c:pt idx="0">
                  <c:v>历史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'前30%均分对比【历史】'!$A$2:$A$6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武汉洪山高中</c:v>
                </c:pt>
                <c:pt idx="3">
                  <c:v>武汉江夏一中</c:v>
                </c:pt>
                <c:pt idx="4">
                  <c:v>武汉汉阳一中</c:v>
                </c:pt>
              </c:strCache>
            </c:strRef>
          </c:cat>
          <c:val>
            <c:numRef>
              <c:f>'前30%均分对比【历史】'!$F$2:$F$6</c:f>
              <c:numCache>
                <c:formatCode>0.0</c:formatCode>
                <c:ptCount val="5"/>
                <c:pt idx="0">
                  <c:v>77.91</c:v>
                </c:pt>
                <c:pt idx="1">
                  <c:v>78.52</c:v>
                </c:pt>
                <c:pt idx="2">
                  <c:v>74.38</c:v>
                </c:pt>
                <c:pt idx="3">
                  <c:v>72.17</c:v>
                </c:pt>
                <c:pt idx="4">
                  <c:v>71.33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3-AE49-A32D-E73F463FA7CF}"/>
            </c:ext>
          </c:extLst>
        </c:ser>
        <c:ser>
          <c:idx val="1"/>
          <c:order val="1"/>
          <c:tx>
            <c:strRef>
              <c:f>'前30%均分对比【历史】'!$G$1</c:f>
              <c:strCache>
                <c:ptCount val="1"/>
                <c:pt idx="0">
                  <c:v>政治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'前30%均分对比【历史】'!$A$2:$A$6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武汉洪山高中</c:v>
                </c:pt>
                <c:pt idx="3">
                  <c:v>武汉江夏一中</c:v>
                </c:pt>
                <c:pt idx="4">
                  <c:v>武汉汉阳一中</c:v>
                </c:pt>
              </c:strCache>
            </c:strRef>
          </c:cat>
          <c:val>
            <c:numRef>
              <c:f>'前30%均分对比【历史】'!$G$2:$G$6</c:f>
              <c:numCache>
                <c:formatCode>0.0</c:formatCode>
                <c:ptCount val="5"/>
                <c:pt idx="0">
                  <c:v>91.69</c:v>
                </c:pt>
                <c:pt idx="1">
                  <c:v>89.61</c:v>
                </c:pt>
                <c:pt idx="2">
                  <c:v>85.6</c:v>
                </c:pt>
                <c:pt idx="3">
                  <c:v>86.47</c:v>
                </c:pt>
                <c:pt idx="4">
                  <c:v>87.66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43-AE49-A32D-E73F463FA7CF}"/>
            </c:ext>
          </c:extLst>
        </c:ser>
        <c:ser>
          <c:idx val="2"/>
          <c:order val="2"/>
          <c:tx>
            <c:strRef>
              <c:f>'前30%均分对比【历史】'!$H$1</c:f>
              <c:strCache>
                <c:ptCount val="1"/>
                <c:pt idx="0">
                  <c:v>地理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'前30%均分对比【历史】'!$A$2:$A$6</c:f>
              <c:strCache>
                <c:ptCount val="5"/>
                <c:pt idx="0">
                  <c:v>武昌实验中学</c:v>
                </c:pt>
                <c:pt idx="1">
                  <c:v>襄阳五中</c:v>
                </c:pt>
                <c:pt idx="2">
                  <c:v>武汉洪山高中</c:v>
                </c:pt>
                <c:pt idx="3">
                  <c:v>武汉江夏一中</c:v>
                </c:pt>
                <c:pt idx="4">
                  <c:v>武汉汉阳一中</c:v>
                </c:pt>
              </c:strCache>
            </c:strRef>
          </c:cat>
          <c:val>
            <c:numRef>
              <c:f>'前30%均分对比【历史】'!$H$2:$H$6</c:f>
              <c:numCache>
                <c:formatCode>0.0</c:formatCode>
                <c:ptCount val="5"/>
                <c:pt idx="0">
                  <c:v>89.06</c:v>
                </c:pt>
                <c:pt idx="1">
                  <c:v>89.55</c:v>
                </c:pt>
                <c:pt idx="2">
                  <c:v>84.44</c:v>
                </c:pt>
                <c:pt idx="3">
                  <c:v>83.92</c:v>
                </c:pt>
                <c:pt idx="4">
                  <c:v>77.83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43-AE49-A32D-E73F463FA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30"/>
        <c:axId val="626764672"/>
        <c:axId val="626766384"/>
      </c:barChart>
      <c:catAx>
        <c:axId val="62676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6766384"/>
        <c:crosses val="autoZero"/>
        <c:auto val="1"/>
        <c:lblAlgn val="ctr"/>
        <c:lblOffset val="100"/>
        <c:noMultiLvlLbl val="0"/>
      </c:catAx>
      <c:valAx>
        <c:axId val="626766384"/>
        <c:scaling>
          <c:orientation val="minMax"/>
          <c:min val="5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crossAx val="62676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793750</xdr:colOff>
      <xdr:row>10</xdr:row>
      <xdr:rowOff>82550</xdr:rowOff>
    </xdr:from>
    <xdr:to>
      <xdr:col>19</xdr:col>
      <xdr:colOff>28575</xdr:colOff>
      <xdr:row>51</xdr:row>
      <xdr:rowOff>47625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44ECE299-861C-F495-D981-8878C4EED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14286</xdr:colOff>
      <xdr:row>7</xdr:row>
      <xdr:rowOff>100011</xdr:rowOff>
    </xdr:from>
    <xdr:to>
      <xdr:col>15</xdr:col>
      <xdr:colOff>828674</xdr:colOff>
      <xdr:row>51</xdr:row>
      <xdr:rowOff>28574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49ED0E7A-E06E-0254-B7E0-2B3546BF4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425450</xdr:colOff>
      <xdr:row>6</xdr:row>
      <xdr:rowOff>88900</xdr:rowOff>
    </xdr:from>
    <xdr:to>
      <xdr:col>18</xdr:col>
      <xdr:colOff>0</xdr:colOff>
      <xdr:row>42</xdr:row>
      <xdr:rowOff>76200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F25D792-3ED4-E172-CA0A-F7E15C2FA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425450</xdr:colOff>
      <xdr:row>43</xdr:row>
      <xdr:rowOff>127000</xdr:rowOff>
    </xdr:from>
    <xdr:to>
      <xdr:col>17</xdr:col>
      <xdr:colOff>812800</xdr:colOff>
      <xdr:row>79</xdr:row>
      <xdr:rowOff>127000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97ADBDF9-65D6-DEB3-37B3-7FC4173AC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16</xdr:col>
      <xdr:colOff>158750</xdr:colOff>
      <xdr:row>42</xdr:row>
      <xdr:rowOff>165100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268F1EB-D493-B344-821F-AE075822B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44</xdr:row>
      <xdr:rowOff>0</xdr:rowOff>
    </xdr:from>
    <xdr:to>
      <xdr:col>16</xdr:col>
      <xdr:colOff>146050</xdr:colOff>
      <xdr:row>80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5692F67-03EA-1844-B50E-2B1007CA0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25400</xdr:rowOff>
    </xdr:from>
    <xdr:to>
      <xdr:col>12</xdr:col>
      <xdr:colOff>762000</xdr:colOff>
      <xdr:row>40</xdr:row>
      <xdr:rowOff>82042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367E426-D687-A507-4686-9F126D628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25400"/>
          <a:ext cx="10604500" cy="7168642"/>
        </a:xfrm>
        <a:prstGeom prst="rect">
          <a:avLst/>
        </a:prstGeom>
      </xdr:spPr>
    </xdr:pic>
    <xdr:clientData/>
  </xdr:twoCellAnchor>
  <xdr:twoCellAnchor editAs="oneCell">
    <xdr:from>
      <xdr:col>12</xdr:col>
      <xdr:colOff>825499</xdr:colOff>
      <xdr:row>0</xdr:row>
      <xdr:rowOff>0</xdr:rowOff>
    </xdr:from>
    <xdr:to>
      <xdr:col>25</xdr:col>
      <xdr:colOff>489728</xdr:colOff>
      <xdr:row>40</xdr:row>
      <xdr:rowOff>114300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01D495B-18FD-051A-BB6F-FD22F53D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31499" y="0"/>
          <a:ext cx="10395729" cy="7226300"/>
        </a:xfrm>
        <a:prstGeom prst="rect">
          <a:avLst/>
        </a:prstGeom>
      </xdr:spPr>
    </xdr:pic>
    <xdr:clientData/>
  </xdr:twoCellAnchor>
  <xdr:twoCellAnchor editAs="oneCell">
    <xdr:from>
      <xdr:col>25</xdr:col>
      <xdr:colOff>508000</xdr:colOff>
      <xdr:row>0</xdr:row>
      <xdr:rowOff>12700</xdr:rowOff>
    </xdr:from>
    <xdr:to>
      <xdr:col>38</xdr:col>
      <xdr:colOff>491438</xdr:colOff>
      <xdr:row>40</xdr:row>
      <xdr:rowOff>114300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3F43B0F-98CC-33FE-6432-4212F52FA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145500" y="12700"/>
          <a:ext cx="10714938" cy="7213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090B-2B50-45A3-ADEF-A3598623EE7A}">
  <dimension ref="A1:J13"/>
  <sheetViews>
    <sheetView workbookViewId="0">
      <selection activeCell="M6" sqref="M6"/>
    </sheetView>
  </sheetViews>
  <sheetFormatPr baseColWidth="10" defaultColWidth="8.83203125" defaultRowHeight="14"/>
  <cols>
    <col min="1" max="1" width="18.1640625" customWidth="1"/>
    <col min="2" max="6" width="12.83203125" customWidth="1"/>
    <col min="7" max="9" width="10.83203125" customWidth="1"/>
  </cols>
  <sheetData>
    <row r="1" spans="1:10" ht="19">
      <c r="A1" s="1" t="s">
        <v>6</v>
      </c>
      <c r="E1" s="2"/>
      <c r="I1" s="2"/>
    </row>
    <row r="2" spans="1:10">
      <c r="E2" s="2"/>
      <c r="I2" s="2"/>
    </row>
    <row r="4" spans="1:10" ht="19">
      <c r="A4" s="1" t="s">
        <v>7</v>
      </c>
      <c r="B4" s="3" t="s">
        <v>8</v>
      </c>
      <c r="C4" s="4" t="s">
        <v>15</v>
      </c>
      <c r="D4" s="4" t="s">
        <v>16</v>
      </c>
      <c r="E4" s="3" t="s">
        <v>9</v>
      </c>
      <c r="F4" s="3" t="s">
        <v>8</v>
      </c>
      <c r="G4" s="4" t="s">
        <v>15</v>
      </c>
      <c r="H4" s="4" t="s">
        <v>16</v>
      </c>
      <c r="I4" s="3" t="s">
        <v>9</v>
      </c>
      <c r="J4" s="1"/>
    </row>
    <row r="5" spans="1:10" ht="20" customHeight="1">
      <c r="A5" s="6" t="s">
        <v>26</v>
      </c>
      <c r="B5" s="6">
        <v>23</v>
      </c>
      <c r="C5" s="6">
        <v>314</v>
      </c>
      <c r="D5" s="6">
        <v>798</v>
      </c>
      <c r="E5" s="6">
        <v>1591</v>
      </c>
      <c r="F5" s="7">
        <v>1.3099999167025089E-2</v>
      </c>
      <c r="G5" s="7">
        <v>0.17839999496936798</v>
      </c>
      <c r="H5" s="7">
        <v>0.45340001583099365</v>
      </c>
      <c r="I5" s="9">
        <v>0.90400004386901855</v>
      </c>
      <c r="J5" s="1"/>
    </row>
    <row r="6" spans="1:10" ht="19">
      <c r="A6" s="6" t="s">
        <v>27</v>
      </c>
      <c r="B6" s="6">
        <v>19</v>
      </c>
      <c r="C6" s="6">
        <v>258</v>
      </c>
      <c r="D6" s="6">
        <v>587</v>
      </c>
      <c r="E6" s="6">
        <v>1287</v>
      </c>
      <c r="F6" s="7">
        <v>1.3300000689923763E-2</v>
      </c>
      <c r="G6" s="7">
        <v>0.18040001392364502</v>
      </c>
      <c r="H6" s="7">
        <v>0.41049998998641968</v>
      </c>
      <c r="I6" s="8">
        <v>0.9</v>
      </c>
      <c r="J6" s="1"/>
    </row>
    <row r="7" spans="1:10" ht="22">
      <c r="A7" s="6" t="s">
        <v>21</v>
      </c>
      <c r="B7" s="6">
        <v>17</v>
      </c>
      <c r="C7" s="6">
        <v>221</v>
      </c>
      <c r="D7" s="6">
        <v>374</v>
      </c>
      <c r="E7" s="6">
        <v>443</v>
      </c>
      <c r="F7" s="7">
        <v>3.7799999117851257E-2</v>
      </c>
      <c r="G7" s="7">
        <v>0.491100013256073</v>
      </c>
      <c r="H7" s="7">
        <v>0.8310999870300293</v>
      </c>
      <c r="I7" s="7">
        <v>0.98440003395080566</v>
      </c>
      <c r="J7" s="1"/>
    </row>
    <row r="8" spans="1:10" ht="22">
      <c r="A8" s="6" t="s">
        <v>22</v>
      </c>
      <c r="B8" s="6">
        <v>3</v>
      </c>
      <c r="C8" s="6">
        <v>47</v>
      </c>
      <c r="D8" s="6">
        <v>160</v>
      </c>
      <c r="E8" s="6">
        <v>445</v>
      </c>
      <c r="F8" s="7">
        <v>5.7999999262392521E-3</v>
      </c>
      <c r="G8" s="7">
        <v>9.0600006282329559E-2</v>
      </c>
      <c r="H8" s="7">
        <v>0.30829998850822449</v>
      </c>
      <c r="I8" s="7">
        <v>0.85740000009536743</v>
      </c>
      <c r="J8" s="1"/>
    </row>
    <row r="9" spans="1:10" ht="22">
      <c r="A9" s="6" t="s">
        <v>25</v>
      </c>
      <c r="B9" s="6">
        <v>2</v>
      </c>
      <c r="C9" s="6">
        <v>51</v>
      </c>
      <c r="D9" s="6">
        <v>171</v>
      </c>
      <c r="E9" s="6">
        <v>582</v>
      </c>
      <c r="F9" s="7">
        <v>2.3000000510364771E-3</v>
      </c>
      <c r="G9" s="7">
        <v>5.9399999678134918E-2</v>
      </c>
      <c r="H9" s="7">
        <v>0.19910000264644623</v>
      </c>
      <c r="I9" s="7">
        <v>0.67750000953674316</v>
      </c>
      <c r="J9" s="1"/>
    </row>
    <row r="10" spans="1:10" ht="22">
      <c r="A10" s="6" t="s">
        <v>23</v>
      </c>
      <c r="B10" s="6"/>
      <c r="C10" s="6">
        <v>56</v>
      </c>
      <c r="D10" s="6">
        <v>231</v>
      </c>
      <c r="E10" s="6">
        <v>474</v>
      </c>
      <c r="F10" s="8" t="s">
        <v>24</v>
      </c>
      <c r="G10" s="7">
        <v>0.10869999974966049</v>
      </c>
      <c r="H10" s="7">
        <v>0.44849997758865356</v>
      </c>
      <c r="I10" s="7">
        <v>0.92040002346038818</v>
      </c>
      <c r="J10" s="1"/>
    </row>
    <row r="13" spans="1:10" hidden="1"/>
  </sheetData>
  <sortState xmlns:xlrd2="http://schemas.microsoft.com/office/spreadsheetml/2017/richdata2" ref="A5:I10">
    <sortCondition descending="1" ref="B5:B10"/>
  </sortState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C8CF-A0B0-E842-B0A6-2CD892847D2C}">
  <dimension ref="A1:J7"/>
  <sheetViews>
    <sheetView workbookViewId="0">
      <selection activeCell="O6" sqref="O6"/>
    </sheetView>
  </sheetViews>
  <sheetFormatPr baseColWidth="10" defaultColWidth="11" defaultRowHeight="14"/>
  <cols>
    <col min="1" max="1" width="17.83203125" customWidth="1"/>
    <col min="2" max="6" width="12.83203125" customWidth="1"/>
  </cols>
  <sheetData>
    <row r="1" spans="1:10" ht="19">
      <c r="A1" s="10" t="s">
        <v>28</v>
      </c>
      <c r="B1" s="3" t="s">
        <v>8</v>
      </c>
      <c r="C1" s="4" t="s">
        <v>15</v>
      </c>
      <c r="D1" s="4" t="s">
        <v>16</v>
      </c>
      <c r="E1" s="3" t="s">
        <v>9</v>
      </c>
      <c r="F1" s="3" t="s">
        <v>8</v>
      </c>
      <c r="G1" s="4" t="s">
        <v>15</v>
      </c>
      <c r="H1" s="4" t="s">
        <v>16</v>
      </c>
      <c r="I1" s="3" t="s">
        <v>9</v>
      </c>
      <c r="J1" s="10" t="s">
        <v>29</v>
      </c>
    </row>
    <row r="2" spans="1:10" ht="17">
      <c r="A2" s="10" t="s">
        <v>30</v>
      </c>
      <c r="B2" s="10">
        <v>6</v>
      </c>
      <c r="C2" s="10">
        <v>125</v>
      </c>
      <c r="D2" s="10">
        <v>184</v>
      </c>
      <c r="E2" s="10">
        <v>423</v>
      </c>
      <c r="F2" s="11">
        <v>1.3099999167025089E-2</v>
      </c>
      <c r="G2" s="11">
        <v>0.273499995470047</v>
      </c>
      <c r="H2" s="11">
        <v>0.4025999903678894</v>
      </c>
      <c r="I2" s="11">
        <v>0.92559999227523804</v>
      </c>
      <c r="J2" s="10">
        <v>457</v>
      </c>
    </row>
    <row r="3" spans="1:10" ht="17">
      <c r="A3" s="10" t="s">
        <v>31</v>
      </c>
      <c r="B3" s="10">
        <v>5</v>
      </c>
      <c r="C3" s="10">
        <v>112</v>
      </c>
      <c r="D3" s="10">
        <v>157</v>
      </c>
      <c r="E3" s="10">
        <v>337</v>
      </c>
      <c r="F3" s="11">
        <v>1.3300000689923763E-2</v>
      </c>
      <c r="G3" s="11">
        <v>0.29709997773170471</v>
      </c>
      <c r="H3" s="11">
        <v>0.41639998555183411</v>
      </c>
      <c r="I3" s="11">
        <v>0.89389997720718384</v>
      </c>
      <c r="J3" s="10">
        <v>377</v>
      </c>
    </row>
    <row r="4" spans="1:10" ht="17">
      <c r="A4" s="10" t="s">
        <v>32</v>
      </c>
      <c r="B4" s="10"/>
      <c r="C4" s="10">
        <v>35</v>
      </c>
      <c r="D4" s="10">
        <v>38</v>
      </c>
      <c r="E4" s="10">
        <v>52</v>
      </c>
      <c r="F4" s="12">
        <v>0</v>
      </c>
      <c r="G4" s="11">
        <v>0.64809995889663696</v>
      </c>
      <c r="H4" s="11">
        <v>0.70370000600814819</v>
      </c>
      <c r="I4" s="13">
        <v>0.96300005912780762</v>
      </c>
      <c r="J4" s="10">
        <v>54</v>
      </c>
    </row>
    <row r="5" spans="1:10" ht="19">
      <c r="A5" s="14" t="s">
        <v>33</v>
      </c>
      <c r="B5" s="10"/>
      <c r="C5" s="10">
        <v>12</v>
      </c>
      <c r="D5" s="10">
        <v>24</v>
      </c>
      <c r="E5" s="10">
        <v>73</v>
      </c>
      <c r="F5" s="12">
        <v>0</v>
      </c>
      <c r="G5" s="11">
        <v>0.13949999213218689</v>
      </c>
      <c r="H5" s="11">
        <v>0.27910000085830688</v>
      </c>
      <c r="I5" s="11">
        <v>0.8487999439239502</v>
      </c>
      <c r="J5" s="10">
        <v>86</v>
      </c>
    </row>
    <row r="6" spans="1:10" ht="19">
      <c r="A6" s="14" t="s">
        <v>34</v>
      </c>
      <c r="B6" s="10"/>
      <c r="C6" s="10">
        <v>6</v>
      </c>
      <c r="D6" s="10">
        <v>8</v>
      </c>
      <c r="E6" s="10">
        <v>65</v>
      </c>
      <c r="F6" s="12">
        <v>0</v>
      </c>
      <c r="G6" s="11">
        <v>4.960000142455101E-2</v>
      </c>
      <c r="H6" s="11">
        <v>6.6100001335144043E-2</v>
      </c>
      <c r="I6" s="11">
        <v>0.53720003366470337</v>
      </c>
      <c r="J6" s="10">
        <v>121</v>
      </c>
    </row>
    <row r="7" spans="1:10" ht="19">
      <c r="A7" s="14" t="s">
        <v>35</v>
      </c>
      <c r="B7" s="10"/>
      <c r="C7" s="10">
        <v>1</v>
      </c>
      <c r="D7" s="10">
        <v>5</v>
      </c>
      <c r="E7" s="10">
        <v>46</v>
      </c>
      <c r="F7" s="12">
        <v>0</v>
      </c>
      <c r="G7" s="11">
        <v>1.0199999436736107E-2</v>
      </c>
      <c r="H7" s="13">
        <v>5.0999999046325684E-2</v>
      </c>
      <c r="I7" s="11">
        <v>0.46939998865127563</v>
      </c>
      <c r="J7" s="10">
        <v>98</v>
      </c>
    </row>
  </sheetData>
  <sortState xmlns:xlrd2="http://schemas.microsoft.com/office/spreadsheetml/2017/richdata2" ref="A1:J8">
    <sortCondition descending="1" ref="B1:B8"/>
    <sortCondition descending="1" ref="C1:C8"/>
    <sortCondition descending="1" ref="D1:D8"/>
  </sortState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91AE-D396-C04B-AF4D-02C6F443322F}">
  <dimension ref="A1:I6"/>
  <sheetViews>
    <sheetView workbookViewId="0">
      <selection activeCell="W24" sqref="W24"/>
    </sheetView>
  </sheetViews>
  <sheetFormatPr baseColWidth="10" defaultColWidth="11" defaultRowHeight="14"/>
  <cols>
    <col min="1" max="1" width="17.83203125" customWidth="1"/>
  </cols>
  <sheetData>
    <row r="1" spans="1:9" ht="19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17</v>
      </c>
      <c r="H1" s="1" t="s">
        <v>18</v>
      </c>
      <c r="I1" s="1" t="s">
        <v>19</v>
      </c>
    </row>
    <row r="2" spans="1:9" ht="19">
      <c r="A2" s="1" t="s">
        <v>10</v>
      </c>
      <c r="B2" s="5">
        <v>637.30999999999995</v>
      </c>
      <c r="C2" s="5">
        <v>109.81</v>
      </c>
      <c r="D2" s="5">
        <v>128.54</v>
      </c>
      <c r="E2" s="5">
        <v>132.01</v>
      </c>
      <c r="F2" s="5">
        <v>85.09</v>
      </c>
      <c r="G2" s="5">
        <v>91.81</v>
      </c>
      <c r="H2" s="5">
        <v>90.09</v>
      </c>
      <c r="I2" s="5">
        <v>85</v>
      </c>
    </row>
    <row r="3" spans="1:9" ht="19">
      <c r="A3" s="1" t="s">
        <v>11</v>
      </c>
      <c r="B3" s="5">
        <v>604.1</v>
      </c>
      <c r="C3" s="5">
        <v>108.42</v>
      </c>
      <c r="D3" s="5">
        <v>111.77</v>
      </c>
      <c r="E3" s="5">
        <v>128.02000000000001</v>
      </c>
      <c r="F3" s="5">
        <v>79.790000000000006</v>
      </c>
      <c r="G3" s="5">
        <v>87.93</v>
      </c>
      <c r="H3" s="5">
        <v>88.08</v>
      </c>
      <c r="I3" s="5">
        <v>87.77</v>
      </c>
    </row>
    <row r="4" spans="1:9" ht="19">
      <c r="A4" s="1" t="s">
        <v>13</v>
      </c>
      <c r="B4" s="5">
        <v>587.57000000000005</v>
      </c>
      <c r="C4" s="5">
        <v>106.03</v>
      </c>
      <c r="D4" s="5">
        <v>109.34</v>
      </c>
      <c r="E4" s="5">
        <v>124.73</v>
      </c>
      <c r="F4" s="5">
        <v>74.38</v>
      </c>
      <c r="G4" s="5">
        <v>86.74</v>
      </c>
      <c r="H4" s="5">
        <v>86.39</v>
      </c>
      <c r="I4" s="5">
        <v>84.5</v>
      </c>
    </row>
    <row r="5" spans="1:9" ht="19">
      <c r="A5" s="1" t="s">
        <v>12</v>
      </c>
      <c r="B5" s="5">
        <v>579.36</v>
      </c>
      <c r="C5" s="5">
        <v>106.66</v>
      </c>
      <c r="D5" s="5">
        <v>104</v>
      </c>
      <c r="E5" s="5">
        <v>123.05</v>
      </c>
      <c r="F5" s="5">
        <v>71.239999999999995</v>
      </c>
      <c r="G5" s="5">
        <v>87.49</v>
      </c>
      <c r="H5" s="5">
        <v>87.03</v>
      </c>
      <c r="I5" s="5">
        <v>88.14</v>
      </c>
    </row>
    <row r="6" spans="1:9" ht="19">
      <c r="A6" s="1" t="s">
        <v>14</v>
      </c>
      <c r="B6" s="5">
        <v>563.35</v>
      </c>
      <c r="C6" s="5">
        <v>102.19</v>
      </c>
      <c r="D6" s="5">
        <v>99.21</v>
      </c>
      <c r="E6" s="5">
        <v>119.58</v>
      </c>
      <c r="F6" s="5">
        <v>70.94</v>
      </c>
      <c r="G6" s="5">
        <v>87.03</v>
      </c>
      <c r="H6" s="5">
        <v>85.05</v>
      </c>
      <c r="I6" s="5">
        <v>82.21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D371-E6A1-0B43-84FB-D7F15B626594}">
  <dimension ref="A1:AE6"/>
  <sheetViews>
    <sheetView workbookViewId="0">
      <selection sqref="A1:H6"/>
    </sheetView>
  </sheetViews>
  <sheetFormatPr baseColWidth="10" defaultColWidth="11" defaultRowHeight="14"/>
  <cols>
    <col min="1" max="1" width="17.83203125" customWidth="1"/>
    <col min="2" max="8" width="12.83203125" customWidth="1"/>
  </cols>
  <sheetData>
    <row r="1" spans="1:31" ht="20" thickBot="1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19</v>
      </c>
      <c r="H1" s="1" t="s">
        <v>20</v>
      </c>
      <c r="X1" s="18" t="s">
        <v>7</v>
      </c>
      <c r="Y1" s="17" t="s">
        <v>0</v>
      </c>
      <c r="Z1" s="17" t="s">
        <v>1</v>
      </c>
      <c r="AA1" s="17" t="s">
        <v>2</v>
      </c>
      <c r="AB1" s="17" t="s">
        <v>3</v>
      </c>
      <c r="AC1" s="17" t="s">
        <v>5</v>
      </c>
      <c r="AD1" s="17" t="s">
        <v>19</v>
      </c>
      <c r="AE1" s="17" t="s">
        <v>20</v>
      </c>
    </row>
    <row r="2" spans="1:31" ht="20" thickBot="1">
      <c r="A2" s="1" t="s">
        <v>10</v>
      </c>
      <c r="B2" s="5">
        <v>610.80999999999995</v>
      </c>
      <c r="C2" s="5">
        <v>114.56</v>
      </c>
      <c r="D2" s="5">
        <v>104.66</v>
      </c>
      <c r="E2" s="5">
        <v>132.94</v>
      </c>
      <c r="F2" s="5">
        <v>77.91</v>
      </c>
      <c r="G2" s="5">
        <v>91.69</v>
      </c>
      <c r="H2" s="5">
        <v>89.06</v>
      </c>
      <c r="X2" s="15" t="s">
        <v>10</v>
      </c>
      <c r="Y2" s="16">
        <v>610.80999999999995</v>
      </c>
      <c r="Z2" s="16">
        <v>114.56</v>
      </c>
      <c r="AA2" s="16">
        <v>104.66</v>
      </c>
      <c r="AB2" s="16">
        <v>132.94</v>
      </c>
      <c r="AC2" s="16">
        <v>77.91</v>
      </c>
      <c r="AD2" s="16">
        <v>91.69</v>
      </c>
      <c r="AE2" s="16">
        <v>89.06</v>
      </c>
    </row>
    <row r="3" spans="1:31" ht="20" thickBot="1">
      <c r="A3" s="1" t="s">
        <v>11</v>
      </c>
      <c r="B3" s="5">
        <v>596.70000000000005</v>
      </c>
      <c r="C3" s="5">
        <v>113.45</v>
      </c>
      <c r="D3" s="5">
        <v>94.79</v>
      </c>
      <c r="E3" s="5">
        <v>131.30000000000001</v>
      </c>
      <c r="F3" s="5">
        <v>78.52</v>
      </c>
      <c r="G3" s="5">
        <v>89.61</v>
      </c>
      <c r="H3" s="5">
        <v>89.55</v>
      </c>
      <c r="X3" s="15" t="s">
        <v>11</v>
      </c>
      <c r="Y3" s="16">
        <v>596.70000000000005</v>
      </c>
      <c r="Z3" s="16">
        <v>113.45</v>
      </c>
      <c r="AA3" s="16">
        <v>94.79</v>
      </c>
      <c r="AB3" s="16">
        <v>131.30000000000001</v>
      </c>
      <c r="AC3" s="16">
        <v>78.52</v>
      </c>
      <c r="AD3" s="16">
        <v>89.61</v>
      </c>
      <c r="AE3" s="16">
        <v>89.55</v>
      </c>
    </row>
    <row r="4" spans="1:31" ht="20" thickBot="1">
      <c r="A4" s="1" t="s">
        <v>13</v>
      </c>
      <c r="B4" s="5">
        <v>578.02</v>
      </c>
      <c r="C4" s="5">
        <v>109.66</v>
      </c>
      <c r="D4" s="5">
        <v>93.08</v>
      </c>
      <c r="E4" s="5">
        <v>130.86000000000001</v>
      </c>
      <c r="F4" s="5">
        <v>74.38</v>
      </c>
      <c r="G4" s="5">
        <v>85.6</v>
      </c>
      <c r="H4" s="5">
        <v>84.44</v>
      </c>
      <c r="X4" s="15" t="s">
        <v>13</v>
      </c>
      <c r="Y4" s="16">
        <v>578.02</v>
      </c>
      <c r="Z4" s="16">
        <v>109.66</v>
      </c>
      <c r="AA4" s="16">
        <v>93.08</v>
      </c>
      <c r="AB4" s="16">
        <v>130.86000000000001</v>
      </c>
      <c r="AC4" s="16">
        <v>74.38</v>
      </c>
      <c r="AD4" s="16">
        <v>85.6</v>
      </c>
      <c r="AE4" s="16">
        <v>84.44</v>
      </c>
    </row>
    <row r="5" spans="1:31" ht="20" thickBot="1">
      <c r="A5" s="1" t="s">
        <v>14</v>
      </c>
      <c r="B5" s="5">
        <v>546.24</v>
      </c>
      <c r="C5" s="5">
        <v>104.75</v>
      </c>
      <c r="D5" s="5">
        <v>79.69</v>
      </c>
      <c r="E5" s="5">
        <v>119.24</v>
      </c>
      <c r="F5" s="5">
        <v>72.17</v>
      </c>
      <c r="G5" s="5">
        <v>86.47</v>
      </c>
      <c r="H5" s="5">
        <v>83.92</v>
      </c>
      <c r="X5" s="15" t="s">
        <v>14</v>
      </c>
      <c r="Y5" s="16">
        <v>546.24</v>
      </c>
      <c r="Z5" s="16">
        <v>104.75</v>
      </c>
      <c r="AA5" s="16">
        <v>79.69</v>
      </c>
      <c r="AB5" s="16">
        <v>119.24</v>
      </c>
      <c r="AC5" s="16">
        <v>72.17</v>
      </c>
      <c r="AD5" s="16">
        <v>86.47</v>
      </c>
      <c r="AE5" s="16">
        <v>83.92</v>
      </c>
    </row>
    <row r="6" spans="1:31" ht="20" thickBot="1">
      <c r="A6" s="1" t="s">
        <v>12</v>
      </c>
      <c r="B6" s="5">
        <v>539.48</v>
      </c>
      <c r="C6" s="5">
        <v>107.19</v>
      </c>
      <c r="D6" s="5">
        <v>77.53</v>
      </c>
      <c r="E6" s="5">
        <v>117.95</v>
      </c>
      <c r="F6" s="5">
        <v>71.33</v>
      </c>
      <c r="G6" s="5">
        <v>87.66</v>
      </c>
      <c r="H6" s="5">
        <v>77.83</v>
      </c>
      <c r="X6" s="15" t="s">
        <v>12</v>
      </c>
      <c r="Y6" s="16">
        <v>539.48</v>
      </c>
      <c r="Z6" s="16">
        <v>107.19</v>
      </c>
      <c r="AA6" s="16">
        <v>77.53</v>
      </c>
      <c r="AB6" s="16">
        <v>117.95</v>
      </c>
      <c r="AC6" s="16">
        <v>71.33</v>
      </c>
      <c r="AD6" s="16">
        <v>87.66</v>
      </c>
      <c r="AE6" s="16">
        <v>77.83</v>
      </c>
    </row>
  </sheetData>
  <sortState xmlns:xlrd2="http://schemas.microsoft.com/office/spreadsheetml/2017/richdata2" ref="X2:AE113">
    <sortCondition descending="1" ref="Y2:Y113"/>
  </sortState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58AD-5AB0-9743-A897-76098F82E951}">
  <dimension ref="A1:H6"/>
  <sheetViews>
    <sheetView workbookViewId="0">
      <selection sqref="A1:H6"/>
    </sheetView>
  </sheetViews>
  <sheetFormatPr baseColWidth="10" defaultRowHeight="14"/>
  <cols>
    <col min="1" max="1" width="19.83203125" customWidth="1"/>
    <col min="2" max="8" width="12.83203125" customWidth="1"/>
  </cols>
  <sheetData>
    <row r="1" spans="1:8" ht="35" customHeight="1">
      <c r="A1" s="1" t="s">
        <v>7</v>
      </c>
      <c r="B1" s="1" t="s">
        <v>36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37</v>
      </c>
      <c r="H1" s="1" t="s">
        <v>38</v>
      </c>
    </row>
    <row r="2" spans="1:8" ht="21" customHeight="1">
      <c r="A2" s="1" t="s">
        <v>10</v>
      </c>
      <c r="B2" s="5">
        <v>655.77</v>
      </c>
      <c r="C2" s="5">
        <v>112.64</v>
      </c>
      <c r="D2" s="5">
        <v>134.49</v>
      </c>
      <c r="E2" s="5">
        <v>133.82</v>
      </c>
      <c r="F2" s="5">
        <v>89.68</v>
      </c>
      <c r="G2" s="5">
        <v>93.38</v>
      </c>
      <c r="H2" s="5">
        <v>91.76</v>
      </c>
    </row>
    <row r="3" spans="1:8" ht="21" customHeight="1">
      <c r="A3" s="1" t="s">
        <v>11</v>
      </c>
      <c r="B3" s="5">
        <v>658.47</v>
      </c>
      <c r="C3" s="5">
        <v>115.72</v>
      </c>
      <c r="D3" s="5">
        <v>131.63999999999999</v>
      </c>
      <c r="E3" s="5">
        <v>135.15</v>
      </c>
      <c r="F3" s="5">
        <v>90.76</v>
      </c>
      <c r="G3" s="5">
        <v>92.78</v>
      </c>
      <c r="H3" s="5">
        <v>92.53</v>
      </c>
    </row>
    <row r="4" spans="1:8" ht="21" customHeight="1">
      <c r="A4" s="1" t="s">
        <v>13</v>
      </c>
      <c r="B4" s="5">
        <v>613.24</v>
      </c>
      <c r="C4" s="5">
        <v>108.2</v>
      </c>
      <c r="D4" s="5">
        <v>118.65</v>
      </c>
      <c r="E4" s="5">
        <v>127.63</v>
      </c>
      <c r="F4" s="5">
        <v>80.34</v>
      </c>
      <c r="G4" s="5">
        <v>89.9</v>
      </c>
      <c r="H4" s="5">
        <v>88.51</v>
      </c>
    </row>
    <row r="5" spans="1:8" ht="21" customHeight="1">
      <c r="A5" s="1" t="s">
        <v>12</v>
      </c>
      <c r="B5" s="5">
        <v>612.4</v>
      </c>
      <c r="C5" s="5">
        <v>110.26</v>
      </c>
      <c r="D5" s="5">
        <v>114.65</v>
      </c>
      <c r="E5" s="5">
        <v>127.61</v>
      </c>
      <c r="F5" s="5">
        <v>79.34</v>
      </c>
      <c r="G5" s="5">
        <v>90.9</v>
      </c>
      <c r="H5" s="5">
        <v>89.59</v>
      </c>
    </row>
    <row r="6" spans="1:8" ht="21" customHeight="1">
      <c r="A6" s="1" t="s">
        <v>14</v>
      </c>
      <c r="B6" s="5">
        <v>614.61</v>
      </c>
      <c r="C6" s="5">
        <v>106.34</v>
      </c>
      <c r="D6" s="5">
        <v>117.14</v>
      </c>
      <c r="E6" s="5">
        <v>127.91</v>
      </c>
      <c r="F6" s="5">
        <v>83.72</v>
      </c>
      <c r="G6" s="5">
        <v>91.35</v>
      </c>
      <c r="H6" s="5">
        <v>88.46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287BE-0935-CA4C-9E82-CBED8CA83FE2}">
  <dimension ref="A1:H6"/>
  <sheetViews>
    <sheetView workbookViewId="0">
      <selection sqref="A1:H6"/>
    </sheetView>
  </sheetViews>
  <sheetFormatPr baseColWidth="10" defaultRowHeight="14"/>
  <cols>
    <col min="1" max="1" width="19.83203125" customWidth="1"/>
    <col min="2" max="8" width="12.83203125" customWidth="1"/>
  </cols>
  <sheetData>
    <row r="1" spans="1:8" ht="35" customHeight="1">
      <c r="A1" s="1" t="s">
        <v>7</v>
      </c>
      <c r="B1" s="1" t="s">
        <v>36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39</v>
      </c>
      <c r="H1" s="1" t="s">
        <v>40</v>
      </c>
    </row>
    <row r="2" spans="1:8" ht="21" customHeight="1">
      <c r="A2" s="1" t="s">
        <v>10</v>
      </c>
      <c r="B2" s="5">
        <v>582.26</v>
      </c>
      <c r="C2" s="5">
        <v>110.94</v>
      </c>
      <c r="D2" s="5">
        <v>93.8</v>
      </c>
      <c r="E2" s="5">
        <v>128.6</v>
      </c>
      <c r="F2" s="5">
        <v>76</v>
      </c>
      <c r="G2" s="5">
        <v>87.06</v>
      </c>
      <c r="H2" s="5">
        <v>85.86</v>
      </c>
    </row>
    <row r="3" spans="1:8" ht="21" customHeight="1">
      <c r="A3" s="1" t="s">
        <v>11</v>
      </c>
      <c r="B3" s="5">
        <v>618.80999999999995</v>
      </c>
      <c r="C3" s="5">
        <v>116.53</v>
      </c>
      <c r="D3" s="5">
        <v>105.63</v>
      </c>
      <c r="E3" s="5">
        <v>134.18</v>
      </c>
      <c r="F3" s="5">
        <v>80.510000000000005</v>
      </c>
      <c r="G3" s="5">
        <v>91.16</v>
      </c>
      <c r="H3" s="5">
        <v>90.64</v>
      </c>
    </row>
    <row r="4" spans="1:8" ht="21" customHeight="1">
      <c r="A4" s="1" t="s">
        <v>13</v>
      </c>
      <c r="B4" s="5">
        <v>562.02</v>
      </c>
      <c r="C4" s="5">
        <v>108.27</v>
      </c>
      <c r="D4" s="5">
        <v>87.71</v>
      </c>
      <c r="E4" s="5">
        <v>127.5</v>
      </c>
      <c r="F4" s="5">
        <v>72.58</v>
      </c>
      <c r="G4" s="5">
        <v>83.02</v>
      </c>
      <c r="H4" s="5">
        <v>82.94</v>
      </c>
    </row>
    <row r="5" spans="1:8" ht="21" customHeight="1">
      <c r="A5" s="1" t="s">
        <v>12</v>
      </c>
      <c r="B5" s="5">
        <v>525.07000000000005</v>
      </c>
      <c r="C5" s="5">
        <v>105.48</v>
      </c>
      <c r="D5" s="5">
        <v>72.7</v>
      </c>
      <c r="E5" s="5">
        <v>114.9</v>
      </c>
      <c r="F5" s="5">
        <v>70.150000000000006</v>
      </c>
      <c r="G5" s="5">
        <v>85.28</v>
      </c>
      <c r="H5" s="5">
        <v>76.56</v>
      </c>
    </row>
    <row r="6" spans="1:8" ht="21" customHeight="1">
      <c r="A6" s="1" t="s">
        <v>14</v>
      </c>
      <c r="B6" s="5">
        <v>537.16</v>
      </c>
      <c r="C6" s="5">
        <v>103.81</v>
      </c>
      <c r="D6" s="5">
        <v>77.17</v>
      </c>
      <c r="E6" s="5">
        <v>117.08</v>
      </c>
      <c r="F6" s="5">
        <v>70.8</v>
      </c>
      <c r="G6" s="5">
        <v>84.76</v>
      </c>
      <c r="H6" s="5">
        <v>83.54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BB91-3357-9649-BD79-B09175377A70}">
  <dimension ref="A1:H6"/>
  <sheetViews>
    <sheetView workbookViewId="0">
      <selection sqref="A1:H1"/>
    </sheetView>
  </sheetViews>
  <sheetFormatPr baseColWidth="10" defaultRowHeight="14"/>
  <cols>
    <col min="1" max="1" width="19.83203125" customWidth="1"/>
    <col min="2" max="8" width="12.83203125" customWidth="1"/>
  </cols>
  <sheetData>
    <row r="1" spans="1:8" ht="35" customHeight="1">
      <c r="A1" s="1" t="s">
        <v>7</v>
      </c>
      <c r="B1" s="1" t="s">
        <v>36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37</v>
      </c>
      <c r="H1" s="1" t="s">
        <v>38</v>
      </c>
    </row>
    <row r="2" spans="1:8" ht="21" customHeight="1">
      <c r="A2" s="1" t="s">
        <v>10</v>
      </c>
      <c r="B2" s="5">
        <v>643.69000000000005</v>
      </c>
      <c r="C2" s="5">
        <v>111.24</v>
      </c>
      <c r="D2" s="5">
        <v>130.66</v>
      </c>
      <c r="E2" s="5">
        <v>133.02000000000001</v>
      </c>
      <c r="F2" s="5">
        <v>86.01</v>
      </c>
      <c r="G2" s="5">
        <v>92.18</v>
      </c>
      <c r="H2" s="5">
        <v>90.64</v>
      </c>
    </row>
    <row r="3" spans="1:8" ht="21" customHeight="1">
      <c r="A3" s="1" t="s">
        <v>11</v>
      </c>
      <c r="B3" s="5">
        <v>646.11</v>
      </c>
      <c r="C3" s="5">
        <v>113.1</v>
      </c>
      <c r="D3" s="5">
        <v>127.16</v>
      </c>
      <c r="E3" s="5">
        <v>134.16</v>
      </c>
      <c r="F3" s="5">
        <v>88.56</v>
      </c>
      <c r="G3" s="5">
        <v>91.77</v>
      </c>
      <c r="H3" s="5">
        <v>91.45</v>
      </c>
    </row>
    <row r="4" spans="1:8" ht="21" customHeight="1">
      <c r="A4" s="1" t="s">
        <v>13</v>
      </c>
      <c r="B4" s="5">
        <v>598.25</v>
      </c>
      <c r="C4" s="5">
        <v>106.9</v>
      </c>
      <c r="D4" s="5">
        <v>113.97</v>
      </c>
      <c r="E4" s="5">
        <v>125.44</v>
      </c>
      <c r="F4" s="5">
        <v>76.78</v>
      </c>
      <c r="G4" s="5">
        <v>87.8</v>
      </c>
      <c r="H4" s="5">
        <v>87.37</v>
      </c>
    </row>
    <row r="5" spans="1:8" ht="21" customHeight="1">
      <c r="A5" s="1" t="s">
        <v>12</v>
      </c>
      <c r="B5" s="5">
        <v>593.66999999999996</v>
      </c>
      <c r="C5" s="5">
        <v>108.11</v>
      </c>
      <c r="D5" s="5">
        <v>108.43</v>
      </c>
      <c r="E5" s="5">
        <v>124.76</v>
      </c>
      <c r="F5" s="5">
        <v>74.58</v>
      </c>
      <c r="G5" s="5">
        <v>89.41</v>
      </c>
      <c r="H5" s="5">
        <v>88.61</v>
      </c>
    </row>
    <row r="6" spans="1:8" ht="21" customHeight="1">
      <c r="A6" s="1" t="s">
        <v>14</v>
      </c>
      <c r="B6" s="5">
        <v>596.29999999999995</v>
      </c>
      <c r="C6" s="5">
        <v>104.07</v>
      </c>
      <c r="D6" s="5">
        <v>110.46</v>
      </c>
      <c r="E6" s="5">
        <v>124.79</v>
      </c>
      <c r="F6" s="5">
        <v>79.849999999999994</v>
      </c>
      <c r="G6" s="5">
        <v>89.8</v>
      </c>
      <c r="H6" s="5">
        <v>87.54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BAE9-B745-F142-9DE1-4A4C319E0629}">
  <dimension ref="A1:H6"/>
  <sheetViews>
    <sheetView workbookViewId="0">
      <selection sqref="A1:H6"/>
    </sheetView>
  </sheetViews>
  <sheetFormatPr baseColWidth="10" defaultRowHeight="14"/>
  <cols>
    <col min="1" max="1" width="19.83203125" customWidth="1"/>
    <col min="2" max="8" width="12.83203125" customWidth="1"/>
  </cols>
  <sheetData>
    <row r="1" spans="1:8" ht="35" customHeight="1">
      <c r="A1" s="1" t="s">
        <v>7</v>
      </c>
      <c r="B1" s="1" t="s">
        <v>36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39</v>
      </c>
      <c r="H1" s="1" t="s">
        <v>40</v>
      </c>
    </row>
    <row r="2" spans="1:8" ht="21" customHeight="1">
      <c r="A2" s="1" t="s">
        <v>10</v>
      </c>
      <c r="B2" s="5">
        <v>575.09</v>
      </c>
      <c r="C2" s="5">
        <v>109.31</v>
      </c>
      <c r="D2" s="5">
        <v>92.09</v>
      </c>
      <c r="E2" s="5">
        <v>127.28</v>
      </c>
      <c r="F2" s="5">
        <v>75.56</v>
      </c>
      <c r="G2" s="5">
        <v>86.24</v>
      </c>
      <c r="H2" s="5">
        <v>84.61</v>
      </c>
    </row>
    <row r="3" spans="1:8" ht="21" customHeight="1">
      <c r="A3" s="1" t="s">
        <v>11</v>
      </c>
      <c r="B3" s="5">
        <v>604.80999999999995</v>
      </c>
      <c r="C3" s="5">
        <v>114.93</v>
      </c>
      <c r="D3" s="5">
        <v>98.43</v>
      </c>
      <c r="E3" s="5">
        <v>132.4</v>
      </c>
      <c r="F3" s="5">
        <v>79.239999999999995</v>
      </c>
      <c r="G3" s="5">
        <v>90</v>
      </c>
      <c r="H3" s="5">
        <v>90.13</v>
      </c>
    </row>
    <row r="4" spans="1:8" ht="21" customHeight="1">
      <c r="A4" s="1" t="s">
        <v>13</v>
      </c>
      <c r="B4" s="5">
        <v>532.77</v>
      </c>
      <c r="C4" s="5">
        <v>105.67</v>
      </c>
      <c r="D4" s="5">
        <v>79.98</v>
      </c>
      <c r="E4" s="5">
        <v>117.48</v>
      </c>
      <c r="F4" s="5">
        <v>70.48</v>
      </c>
      <c r="G4" s="5">
        <v>78.510000000000005</v>
      </c>
      <c r="H4" s="5">
        <v>80.650000000000006</v>
      </c>
    </row>
    <row r="5" spans="1:8" ht="21" customHeight="1">
      <c r="A5" s="1" t="s">
        <v>12</v>
      </c>
      <c r="B5" s="5">
        <v>483.74</v>
      </c>
      <c r="C5" s="5">
        <v>100.41</v>
      </c>
      <c r="D5" s="5">
        <v>63.67</v>
      </c>
      <c r="E5" s="5">
        <v>105.77</v>
      </c>
      <c r="F5" s="5">
        <v>65.739999999999995</v>
      </c>
      <c r="G5" s="5">
        <v>78.260000000000005</v>
      </c>
      <c r="H5" s="5">
        <v>72.010000000000005</v>
      </c>
    </row>
    <row r="6" spans="1:8" ht="21" customHeight="1">
      <c r="A6" s="1" t="s">
        <v>14</v>
      </c>
      <c r="B6" s="5">
        <v>507.44</v>
      </c>
      <c r="C6" s="5">
        <v>100.32</v>
      </c>
      <c r="D6" s="5">
        <v>68.55</v>
      </c>
      <c r="E6" s="5">
        <v>109.98</v>
      </c>
      <c r="F6" s="5">
        <v>68.44</v>
      </c>
      <c r="G6" s="5">
        <v>80.02</v>
      </c>
      <c r="H6" s="5">
        <v>80.33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E6ED-36CD-0240-BCC8-F3BCFAF6E0E9}">
  <dimension ref="A1:H6"/>
  <sheetViews>
    <sheetView workbookViewId="0">
      <selection activeCell="G20" sqref="G20"/>
    </sheetView>
  </sheetViews>
  <sheetFormatPr baseColWidth="10" defaultRowHeight="14"/>
  <cols>
    <col min="1" max="1" width="19.83203125" customWidth="1"/>
    <col min="2" max="8" width="12.83203125" customWidth="1"/>
  </cols>
  <sheetData>
    <row r="1" spans="1:8" ht="35" customHeight="1">
      <c r="A1" s="1" t="s">
        <v>7</v>
      </c>
      <c r="B1" s="1" t="s">
        <v>36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37</v>
      </c>
      <c r="H1" s="1" t="s">
        <v>38</v>
      </c>
    </row>
    <row r="2" spans="1:8" ht="21" customHeight="1">
      <c r="A2" s="1" t="s">
        <v>10</v>
      </c>
      <c r="B2" s="5">
        <v>626.91</v>
      </c>
      <c r="C2" s="5">
        <v>108.77</v>
      </c>
      <c r="D2" s="5">
        <v>123.6</v>
      </c>
      <c r="E2" s="5">
        <v>131.02000000000001</v>
      </c>
      <c r="F2" s="5">
        <v>82.89</v>
      </c>
      <c r="G2" s="5">
        <v>90.96</v>
      </c>
      <c r="H2" s="5">
        <v>89.7</v>
      </c>
    </row>
    <row r="3" spans="1:8" ht="21" customHeight="1">
      <c r="A3" s="1" t="s">
        <v>11</v>
      </c>
      <c r="B3" s="5">
        <v>629.30999999999995</v>
      </c>
      <c r="C3" s="5">
        <v>110.19</v>
      </c>
      <c r="D3" s="5">
        <v>121.46</v>
      </c>
      <c r="E3" s="5">
        <v>131.68</v>
      </c>
      <c r="F3" s="5">
        <v>85.55</v>
      </c>
      <c r="G3" s="5">
        <v>90.45</v>
      </c>
      <c r="H3" s="5">
        <v>90.02</v>
      </c>
    </row>
    <row r="4" spans="1:8" ht="21" customHeight="1">
      <c r="A4" s="1" t="s">
        <v>13</v>
      </c>
      <c r="B4" s="5">
        <v>580.03</v>
      </c>
      <c r="C4" s="5">
        <v>105.65</v>
      </c>
      <c r="D4" s="5">
        <v>106.28</v>
      </c>
      <c r="E4" s="5">
        <v>123.64</v>
      </c>
      <c r="F4" s="5">
        <v>73.040000000000006</v>
      </c>
      <c r="G4" s="5">
        <v>85.68</v>
      </c>
      <c r="H4" s="5">
        <v>85.84</v>
      </c>
    </row>
    <row r="5" spans="1:8" ht="21" customHeight="1">
      <c r="A5" s="1" t="s">
        <v>12</v>
      </c>
      <c r="B5" s="5">
        <v>570.62</v>
      </c>
      <c r="C5" s="5">
        <v>106.16</v>
      </c>
      <c r="D5" s="5">
        <v>101.03</v>
      </c>
      <c r="E5" s="5">
        <v>121.85</v>
      </c>
      <c r="F5" s="5">
        <v>68.81</v>
      </c>
      <c r="G5" s="5">
        <v>86.57</v>
      </c>
      <c r="H5" s="5">
        <v>86.29</v>
      </c>
    </row>
    <row r="6" spans="1:8" ht="21" customHeight="1">
      <c r="A6" s="1" t="s">
        <v>14</v>
      </c>
      <c r="B6" s="5">
        <v>573.42999999999995</v>
      </c>
      <c r="C6" s="5">
        <v>102.56</v>
      </c>
      <c r="D6" s="5">
        <v>102.55</v>
      </c>
      <c r="E6" s="5">
        <v>120.82</v>
      </c>
      <c r="F6" s="5">
        <v>74.11</v>
      </c>
      <c r="G6" s="5">
        <v>88.1</v>
      </c>
      <c r="H6" s="5">
        <v>85.72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E9CF-F29E-AE44-BE22-9FF3C2AA88E6}">
  <dimension ref="A1:H6"/>
  <sheetViews>
    <sheetView workbookViewId="0">
      <selection activeCell="B22" sqref="B22"/>
    </sheetView>
  </sheetViews>
  <sheetFormatPr baseColWidth="10" defaultRowHeight="14"/>
  <cols>
    <col min="1" max="1" width="19.83203125" customWidth="1"/>
    <col min="2" max="8" width="12.83203125" customWidth="1"/>
  </cols>
  <sheetData>
    <row r="1" spans="1:8" ht="35" customHeight="1">
      <c r="A1" s="1" t="s">
        <v>7</v>
      </c>
      <c r="B1" s="1" t="s">
        <v>36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39</v>
      </c>
      <c r="H1" s="1" t="s">
        <v>40</v>
      </c>
    </row>
    <row r="2" spans="1:8" ht="21" customHeight="1">
      <c r="A2" s="1" t="s">
        <v>10</v>
      </c>
      <c r="B2" s="5">
        <v>575.09</v>
      </c>
      <c r="C2" s="5">
        <v>109.31</v>
      </c>
      <c r="D2" s="5">
        <v>92.09</v>
      </c>
      <c r="E2" s="5">
        <v>127.28</v>
      </c>
      <c r="F2" s="5">
        <v>75.56</v>
      </c>
      <c r="G2" s="5">
        <v>86.24</v>
      </c>
      <c r="H2" s="5">
        <v>84.61</v>
      </c>
    </row>
    <row r="3" spans="1:8" ht="21" customHeight="1">
      <c r="A3" s="1" t="s">
        <v>11</v>
      </c>
      <c r="B3" s="5">
        <v>585.51</v>
      </c>
      <c r="C3" s="5">
        <v>112.35</v>
      </c>
      <c r="D3" s="5">
        <v>89.67</v>
      </c>
      <c r="E3" s="5">
        <v>128.96</v>
      </c>
      <c r="F3" s="5">
        <v>77.91</v>
      </c>
      <c r="G3" s="5">
        <v>88.71</v>
      </c>
      <c r="H3" s="5">
        <v>88.64</v>
      </c>
    </row>
    <row r="4" spans="1:8" ht="21" customHeight="1">
      <c r="A4" s="1" t="s">
        <v>13</v>
      </c>
      <c r="B4" s="5">
        <v>532.77</v>
      </c>
      <c r="C4" s="5">
        <v>105.67</v>
      </c>
      <c r="D4" s="5">
        <v>79.98</v>
      </c>
      <c r="E4" s="5">
        <v>117.48</v>
      </c>
      <c r="F4" s="5">
        <v>70.48</v>
      </c>
      <c r="G4" s="5">
        <v>78.510000000000005</v>
      </c>
      <c r="H4" s="5">
        <v>80.650000000000006</v>
      </c>
    </row>
    <row r="5" spans="1:8" ht="21" customHeight="1">
      <c r="A5" s="1" t="s">
        <v>12</v>
      </c>
      <c r="B5" s="5">
        <v>483.74</v>
      </c>
      <c r="C5" s="5">
        <v>100.41</v>
      </c>
      <c r="D5" s="5">
        <v>63.67</v>
      </c>
      <c r="E5" s="5">
        <v>105.77</v>
      </c>
      <c r="F5" s="5">
        <v>65.739999999999995</v>
      </c>
      <c r="G5" s="5">
        <v>78.260000000000005</v>
      </c>
      <c r="H5" s="5">
        <v>72.010000000000005</v>
      </c>
    </row>
    <row r="6" spans="1:8" ht="21" customHeight="1">
      <c r="A6" s="1" t="s">
        <v>14</v>
      </c>
      <c r="B6" s="5">
        <v>482.31</v>
      </c>
      <c r="C6" s="5">
        <v>98.15</v>
      </c>
      <c r="D6" s="5">
        <v>64.83</v>
      </c>
      <c r="E6" s="5">
        <v>104.55</v>
      </c>
      <c r="F6" s="5">
        <v>66.489999999999995</v>
      </c>
      <c r="G6" s="5">
        <v>77.16</v>
      </c>
      <c r="H6" s="5">
        <v>77.39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199C3-D27D-CD41-B643-598CEFF54DB9}">
  <dimension ref="A1"/>
  <sheetViews>
    <sheetView tabSelected="1" workbookViewId="0">
      <selection activeCell="AO19" sqref="AO19"/>
    </sheetView>
  </sheetViews>
  <sheetFormatPr baseColWidth="10" defaultRowHeight="14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各校上线对比【物理】</vt:lpstr>
      <vt:lpstr>各校上线对比【历史】</vt:lpstr>
      <vt:lpstr>前30%均分对比【物理】</vt:lpstr>
      <vt:lpstr>前30%均分对比【历史】</vt:lpstr>
      <vt:lpstr>前50名均分对比【物理】</vt:lpstr>
      <vt:lpstr>前50名均分对比【历史】</vt:lpstr>
      <vt:lpstr>前100名均分对比【物理】</vt:lpstr>
      <vt:lpstr>前100名均分对比【历史】</vt:lpstr>
      <vt:lpstr>前200名均分对比【物理】</vt:lpstr>
      <vt:lpstr>前200名均分对比【历史】</vt:lpstr>
      <vt:lpstr>三校学科均衡度对比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administrator1</dc:creator>
  <cp:lastModifiedBy>刘 哲文</cp:lastModifiedBy>
  <cp:lastPrinted>2024-10-11T09:12:37Z</cp:lastPrinted>
  <dcterms:created xsi:type="dcterms:W3CDTF">2024-10-11T00:11:00Z</dcterms:created>
  <dcterms:modified xsi:type="dcterms:W3CDTF">2025-02-10T07:31:19Z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F32D322DCD474C8080359D2D057B8A68_11</vt:lpwstr>
  </property>
  <property fmtid="{D5CDD505-2E9C-101B-9397-08002B2CF9AE}" pid="3" name="KSOProductBuildVer">
    <vt:lpwstr>2052-12.1.0.18276</vt:lpwstr>
  </property>
</Properties>
</file>