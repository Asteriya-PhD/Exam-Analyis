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hidePivotFieldList="1"/>
  <mc:AlternateContent xmlns:mc="http://schemas.openxmlformats.org/markup-compatibility/2006">
    <mc:Choice Requires="x15">
      <x15ac:absPath xmlns:x15ac="http://schemas.microsoft.com/office/spreadsheetml/2010/11/ac" url="/Users/zhewenliu/Nutstore Files/2022洪山高中/年级组工作/2024.11.07高三十一月期中联考（圆创）/"/>
    </mc:Choice>
  </mc:AlternateContent>
  <xr:revisionPtr revIDLastSave="0" documentId="13_ncr:1_{DB42B5B2-C355-9F42-9628-109528A4A39F}" xr6:coauthVersionLast="47" xr6:coauthVersionMax="47" xr10:uidLastSave="{00000000-0000-0000-0000-000000000000}"/>
  <bookViews>
    <workbookView xWindow="0" yWindow="500" windowWidth="28800" windowHeight="17500" activeTab="5" xr2:uid="{00000000-000D-0000-FFFF-FFFF00000000}"/>
  </bookViews>
  <sheets>
    <sheet name="各校上线对比【物理】" sheetId="21" r:id="rId1"/>
    <sheet name="各校上线对比【历史】" sheetId="23" r:id="rId2"/>
    <sheet name="各校上线对比【综合】" sheetId="24" r:id="rId3"/>
    <sheet name="前30%均分对比【物理】" sheetId="25" r:id="rId4"/>
    <sheet name="前30%均分对比【历史】" sheetId="26" r:id="rId5"/>
    <sheet name="学科贡献度（物理类）" sheetId="27" r:id="rId6"/>
    <sheet name="学科贡献度（历史类）" sheetId="28" r:id="rId7"/>
    <sheet name="前50名（物理）" sheetId="29" r:id="rId8"/>
    <sheet name="前100名（物理）" sheetId="30" r:id="rId9"/>
    <sheet name="前200名（物理）" sheetId="31" r:id="rId10"/>
    <sheet name="前50名（历史）" sheetId="32" r:id="rId11"/>
    <sheet name="前100名（历史）" sheetId="33" r:id="rId12"/>
    <sheet name="前200名（历史）" sheetId="3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4" l="1"/>
  <c r="F4" i="24"/>
  <c r="F5" i="24"/>
  <c r="F6" i="24"/>
  <c r="F7" i="24"/>
  <c r="F2" i="24"/>
  <c r="I3" i="24"/>
  <c r="I2" i="24"/>
  <c r="I4" i="24"/>
  <c r="I5" i="24"/>
  <c r="I6" i="24"/>
  <c r="I7" i="24"/>
  <c r="H3" i="24"/>
  <c r="H2" i="24"/>
  <c r="H4" i="24"/>
  <c r="H5" i="24"/>
  <c r="H6" i="24"/>
  <c r="H7" i="24"/>
  <c r="G3" i="24"/>
  <c r="G2" i="24"/>
  <c r="G4" i="24"/>
  <c r="G5" i="24"/>
  <c r="G6" i="24"/>
  <c r="G7" i="24"/>
  <c r="I3" i="23"/>
  <c r="I4" i="23"/>
  <c r="I5" i="23"/>
  <c r="I6" i="23"/>
  <c r="I2" i="23"/>
  <c r="H3" i="23"/>
  <c r="H4" i="23"/>
  <c r="H5" i="23"/>
  <c r="H6" i="23"/>
  <c r="H2" i="23"/>
  <c r="G3" i="23"/>
  <c r="G4" i="23"/>
  <c r="G5" i="23"/>
  <c r="G6" i="23"/>
  <c r="G2" i="23"/>
  <c r="F3" i="23"/>
  <c r="F4" i="23"/>
  <c r="F5" i="23"/>
  <c r="F6" i="23"/>
  <c r="F2" i="23"/>
  <c r="F6" i="21"/>
  <c r="G6" i="21"/>
  <c r="H6" i="21"/>
  <c r="I6" i="21"/>
  <c r="F7" i="21"/>
  <c r="G7" i="21"/>
  <c r="H7" i="21"/>
  <c r="I7" i="21"/>
  <c r="F8" i="21"/>
  <c r="G8" i="21"/>
  <c r="H8" i="21"/>
  <c r="I8" i="21"/>
  <c r="I9" i="21"/>
  <c r="I10" i="21"/>
  <c r="I5" i="21"/>
  <c r="H9" i="21"/>
  <c r="H10" i="21"/>
  <c r="H5" i="21"/>
  <c r="G9" i="21"/>
  <c r="G10" i="21"/>
  <c r="G5" i="21"/>
  <c r="F9" i="21"/>
  <c r="F10" i="21"/>
  <c r="F5" i="21"/>
</calcChain>
</file>

<file path=xl/sharedStrings.xml><?xml version="1.0" encoding="utf-8"?>
<sst xmlns="http://schemas.openxmlformats.org/spreadsheetml/2006/main" count="193" uniqueCount="62">
  <si>
    <t>总分</t>
  </si>
  <si>
    <t>语文</t>
  </si>
  <si>
    <t>数学</t>
  </si>
  <si>
    <t>英语</t>
  </si>
  <si>
    <t>物理</t>
  </si>
  <si>
    <t>历史</t>
  </si>
  <si>
    <t>物理类</t>
    <phoneticPr fontId="1" type="noConversion"/>
  </si>
  <si>
    <t>参考人数</t>
  </si>
  <si>
    <t>教学单位</t>
  </si>
  <si>
    <t>清北</t>
  </si>
  <si>
    <t>一本</t>
  </si>
  <si>
    <t>武昌实验中学</t>
  </si>
  <si>
    <t>襄阳五中</t>
  </si>
  <si>
    <t>宜昌夷陵中学</t>
  </si>
  <si>
    <t>武汉汉阳一中</t>
  </si>
  <si>
    <t>武汉洪山高中</t>
  </si>
  <si>
    <t>武汉江夏一中</t>
  </si>
  <si>
    <t>华武</t>
    <phoneticPr fontId="1" type="noConversion"/>
  </si>
  <si>
    <t>高优</t>
    <phoneticPr fontId="1" type="noConversion"/>
  </si>
  <si>
    <t>化学</t>
  </si>
  <si>
    <t>生物</t>
  </si>
  <si>
    <t>政治</t>
  </si>
  <si>
    <t>地理</t>
  </si>
  <si>
    <t>政治</t>
    <phoneticPr fontId="1" type="noConversion"/>
  </si>
  <si>
    <r>
      <rPr>
        <sz val="14"/>
        <color theme="1"/>
        <rFont val="宋体"/>
        <family val="3"/>
        <charset val="134"/>
      </rPr>
      <t>学科</t>
    </r>
    <phoneticPr fontId="1" type="noConversion"/>
  </si>
  <si>
    <r>
      <rPr>
        <sz val="14"/>
        <color theme="1"/>
        <rFont val="宋体"/>
        <family val="3"/>
        <charset val="134"/>
      </rPr>
      <t>贡献率</t>
    </r>
    <phoneticPr fontId="1" type="noConversion"/>
  </si>
  <si>
    <r>
      <rPr>
        <sz val="14"/>
        <color theme="1"/>
        <rFont val="宋体"/>
        <family val="3"/>
        <charset val="134"/>
      </rPr>
      <t>命中率</t>
    </r>
    <phoneticPr fontId="1" type="noConversion"/>
  </si>
  <si>
    <r>
      <rPr>
        <sz val="14"/>
        <color theme="1"/>
        <rFont val="宋体"/>
        <family val="3"/>
        <charset val="134"/>
      </rPr>
      <t>语文</t>
    </r>
    <phoneticPr fontId="1" type="noConversion"/>
  </si>
  <si>
    <r>
      <rPr>
        <sz val="14"/>
        <color theme="1"/>
        <rFont val="宋体"/>
        <family val="3"/>
        <charset val="134"/>
      </rPr>
      <t>数学</t>
    </r>
    <phoneticPr fontId="1" type="noConversion"/>
  </si>
  <si>
    <r>
      <rPr>
        <sz val="14"/>
        <color theme="1"/>
        <rFont val="宋体"/>
        <family val="3"/>
        <charset val="134"/>
      </rPr>
      <t>英语</t>
    </r>
    <phoneticPr fontId="1" type="noConversion"/>
  </si>
  <si>
    <r>
      <rPr>
        <sz val="14"/>
        <color theme="1"/>
        <rFont val="宋体"/>
        <family val="3"/>
        <charset val="134"/>
      </rPr>
      <t>物理</t>
    </r>
    <phoneticPr fontId="1" type="noConversion"/>
  </si>
  <si>
    <r>
      <rPr>
        <sz val="14"/>
        <color theme="1"/>
        <rFont val="宋体"/>
        <family val="3"/>
        <charset val="134"/>
      </rPr>
      <t>化学</t>
    </r>
    <phoneticPr fontId="1" type="noConversion"/>
  </si>
  <si>
    <r>
      <rPr>
        <sz val="14"/>
        <color theme="1"/>
        <rFont val="宋体"/>
        <family val="3"/>
        <charset val="134"/>
      </rPr>
      <t>生物</t>
    </r>
    <phoneticPr fontId="1" type="noConversion"/>
  </si>
  <si>
    <r>
      <rPr>
        <sz val="14"/>
        <color theme="1"/>
        <rFont val="宋体"/>
        <family val="3"/>
        <charset val="134"/>
      </rPr>
      <t>政治</t>
    </r>
    <phoneticPr fontId="1" type="noConversion"/>
  </si>
  <si>
    <t>辅助列</t>
    <phoneticPr fontId="1" type="noConversion"/>
  </si>
  <si>
    <r>
      <rPr>
        <sz val="14"/>
        <color theme="1"/>
        <rFont val="宋体"/>
        <family val="3"/>
        <charset val="134"/>
      </rPr>
      <t>辅助列</t>
    </r>
    <phoneticPr fontId="1" type="noConversion"/>
  </si>
  <si>
    <t>历史</t>
    <phoneticPr fontId="1" type="noConversion"/>
  </si>
  <si>
    <t>地理</t>
    <phoneticPr fontId="1" type="noConversion"/>
  </si>
  <si>
    <t>A+</t>
    <phoneticPr fontId="1" type="noConversion"/>
  </si>
  <si>
    <t>A3+</t>
    <phoneticPr fontId="1" type="noConversion"/>
  </si>
  <si>
    <t>C</t>
    <phoneticPr fontId="1" type="noConversion"/>
  </si>
  <si>
    <r>
      <rPr>
        <sz val="14"/>
        <color theme="1"/>
        <rFont val="宋体"/>
        <family val="3"/>
        <charset val="134"/>
      </rPr>
      <t>贡献等级</t>
    </r>
    <phoneticPr fontId="1" type="noConversion"/>
  </si>
  <si>
    <r>
      <rPr>
        <sz val="14"/>
        <color rgb="FF000000"/>
        <rFont val="宋体"/>
        <family val="3"/>
        <charset val="134"/>
      </rPr>
      <t>武汉汉阳一中</t>
    </r>
  </si>
  <si>
    <r>
      <rPr>
        <sz val="14"/>
        <color rgb="FF000000"/>
        <rFont val="宋体"/>
        <family val="3"/>
        <charset val="134"/>
      </rPr>
      <t>武汉洪山高中</t>
    </r>
  </si>
  <si>
    <r>
      <rPr>
        <sz val="14"/>
        <color rgb="FF000000"/>
        <rFont val="宋体"/>
        <family val="3"/>
        <charset val="134"/>
      </rPr>
      <t>武汉江夏一中</t>
    </r>
  </si>
  <si>
    <r>
      <rPr>
        <sz val="14"/>
        <color rgb="FF000000"/>
        <rFont val="宋体"/>
        <family val="3"/>
        <charset val="134"/>
      </rPr>
      <t>教学单位</t>
    </r>
  </si>
  <si>
    <r>
      <rPr>
        <sz val="14"/>
        <color rgb="FF000000"/>
        <rFont val="宋体"/>
        <family val="3"/>
        <charset val="134"/>
      </rPr>
      <t>总分（赋）</t>
    </r>
  </si>
  <si>
    <r>
      <rPr>
        <sz val="14"/>
        <color rgb="FF000000"/>
        <rFont val="宋体"/>
        <family val="3"/>
        <charset val="134"/>
      </rPr>
      <t>语文</t>
    </r>
  </si>
  <si>
    <r>
      <rPr>
        <sz val="14"/>
        <color rgb="FF000000"/>
        <rFont val="宋体"/>
        <family val="3"/>
        <charset val="134"/>
      </rPr>
      <t>数学</t>
    </r>
  </si>
  <si>
    <r>
      <rPr>
        <sz val="14"/>
        <color rgb="FF000000"/>
        <rFont val="宋体"/>
        <family val="3"/>
        <charset val="134"/>
      </rPr>
      <t>英语</t>
    </r>
  </si>
  <si>
    <r>
      <rPr>
        <sz val="14"/>
        <color rgb="FF000000"/>
        <rFont val="宋体"/>
        <family val="3"/>
        <charset val="134"/>
      </rPr>
      <t>历史</t>
    </r>
  </si>
  <si>
    <r>
      <rPr>
        <sz val="14"/>
        <color rgb="FF000000"/>
        <rFont val="宋体"/>
        <family val="3"/>
        <charset val="134"/>
      </rPr>
      <t>政治</t>
    </r>
  </si>
  <si>
    <r>
      <rPr>
        <sz val="14"/>
        <color rgb="FF000000"/>
        <rFont val="宋体"/>
        <family val="3"/>
        <charset val="134"/>
      </rPr>
      <t>政治（赋）</t>
    </r>
  </si>
  <si>
    <r>
      <rPr>
        <sz val="14"/>
        <color rgb="FF000000"/>
        <rFont val="宋体"/>
        <family val="3"/>
        <charset val="134"/>
      </rPr>
      <t>地理</t>
    </r>
  </si>
  <si>
    <r>
      <rPr>
        <sz val="14"/>
        <color rgb="FF000000"/>
        <rFont val="宋体"/>
        <family val="3"/>
        <charset val="134"/>
      </rPr>
      <t>地理（赋）</t>
    </r>
  </si>
  <si>
    <r>
      <rPr>
        <sz val="14"/>
        <color rgb="FF000000"/>
        <rFont val="宋体"/>
        <family val="3"/>
        <charset val="134"/>
      </rPr>
      <t>物理</t>
    </r>
  </si>
  <si>
    <r>
      <rPr>
        <sz val="14"/>
        <color rgb="FF000000"/>
        <rFont val="宋体"/>
        <family val="3"/>
        <charset val="134"/>
      </rPr>
      <t>化学</t>
    </r>
  </si>
  <si>
    <r>
      <rPr>
        <sz val="14"/>
        <color rgb="FF000000"/>
        <rFont val="宋体"/>
        <family val="3"/>
        <charset val="134"/>
      </rPr>
      <t>化学（赋）</t>
    </r>
  </si>
  <si>
    <r>
      <rPr>
        <sz val="14"/>
        <color rgb="FF000000"/>
        <rFont val="宋体"/>
        <family val="3"/>
        <charset val="134"/>
      </rPr>
      <t>生物</t>
    </r>
  </si>
  <si>
    <r>
      <rPr>
        <sz val="14"/>
        <color rgb="FF000000"/>
        <rFont val="宋体"/>
        <family val="3"/>
        <charset val="134"/>
      </rPr>
      <t>生物（赋）</t>
    </r>
  </si>
  <si>
    <r>
      <rPr>
        <sz val="14"/>
        <color rgb="FF000000"/>
        <rFont val="宋体"/>
        <family val="3"/>
        <charset val="134"/>
      </rPr>
      <t>政治</t>
    </r>
    <phoneticPr fontId="1" type="noConversion"/>
  </si>
  <si>
    <r>
      <rPr>
        <sz val="14"/>
        <color rgb="FF000000"/>
        <rFont val="宋体"/>
        <family val="3"/>
        <charset val="134"/>
      </rPr>
      <t>政治（赋）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</si>
</sst>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0.0%"/>
  </numFmts>
  <fonts count="10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name val="Times New Roman"/>
      <family val="1"/>
    </font>
    <font>
      <sz val="14"/>
      <name val="SimSun"/>
      <family val="1"/>
      <charset val="134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</font>
    <font>
      <b/>
      <sz val="9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9" fontId="0" fillId="0" borderId="0" xfId="1" applyFont="1">
      <alignment vertical="center"/>
    </xf>
    <xf numFmtId="177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/>
              <a:t>部分学校上线对比（物理类）</a:t>
            </a:r>
            <a:endParaRPr lang="zh-CN"/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各校上线对比【物理】!$B$4</c:f>
              <c:strCache>
                <c:ptCount val="1"/>
                <c:pt idx="0">
                  <c:v>清北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8FFFDD4-7DCB-3441-A7C6-9AED1B6539D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9A4E7A-1D14-184A-96D2-BBBAC64C81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467533-92E7-754A-B24B-087BD15266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E96FF7-1154-8747-8511-FC0F25E1DC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4ED5AA5-56B0-DF4E-8ABB-D9BB08FEA4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37A34F5-04D9-5646-8C36-C78DC14691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各校上线对比【物理】!$F$5:$F$10</c:f>
              <c:numCache>
                <c:formatCode>0.0%</c:formatCode>
                <c:ptCount val="6"/>
                <c:pt idx="0">
                  <c:v>3.9647577092511016E-2</c:v>
                </c:pt>
                <c:pt idx="1">
                  <c:v>1.1830201809324982E-2</c:v>
                </c:pt>
                <c:pt idx="2">
                  <c:v>3.4482758620689655E-3</c:v>
                </c:pt>
                <c:pt idx="3">
                  <c:v>3.90625E-3</c:v>
                </c:pt>
                <c:pt idx="4">
                  <c:v>1.953125E-3</c:v>
                </c:pt>
                <c:pt idx="5">
                  <c:v>1.1299435028248588E-3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各校上线对比【物理】!$B$5:$B$10</c15:f>
                <c15:dlblRangeCache>
                  <c:ptCount val="6"/>
                  <c:pt idx="0">
                    <c:v>18</c:v>
                  </c:pt>
                  <c:pt idx="1">
                    <c:v>17</c:v>
                  </c:pt>
                  <c:pt idx="2">
                    <c:v>3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5D9-2146-A66D-BF5B623F9288}"/>
            </c:ext>
          </c:extLst>
        </c:ser>
        <c:ser>
          <c:idx val="1"/>
          <c:order val="1"/>
          <c:tx>
            <c:strRef>
              <c:f>各校上线对比【物理】!$C$4</c:f>
              <c:strCache>
                <c:ptCount val="1"/>
                <c:pt idx="0">
                  <c:v>华武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5CEDB6C-D7A8-7547-B15A-D4D4691C4E4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DA95F2-CAAE-4341-A20C-684858D6E0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BA5B63-452F-F34B-89CC-B69B9554DA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BFFA53D-18C4-6647-9458-E80296193FD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DC0B18-555D-454E-A0E2-769F351A67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A47934-0498-8A4C-BC46-E87E247995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各校上线对比【物理】!$G$5:$G$10</c:f>
              <c:numCache>
                <c:formatCode>0.0%</c:formatCode>
                <c:ptCount val="6"/>
                <c:pt idx="0">
                  <c:v>0.486784140969163</c:v>
                </c:pt>
                <c:pt idx="1">
                  <c:v>0.21085594989561587</c:v>
                </c:pt>
                <c:pt idx="2">
                  <c:v>0.22298850574712645</c:v>
                </c:pt>
                <c:pt idx="3">
                  <c:v>9.375E-2</c:v>
                </c:pt>
                <c:pt idx="4">
                  <c:v>0.1484375</c:v>
                </c:pt>
                <c:pt idx="5">
                  <c:v>5.3107344632768359E-2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各校上线对比【物理】!$C$5:$C$10</c15:f>
                <c15:dlblRangeCache>
                  <c:ptCount val="6"/>
                  <c:pt idx="0">
                    <c:v>221</c:v>
                  </c:pt>
                  <c:pt idx="1">
                    <c:v>303</c:v>
                  </c:pt>
                  <c:pt idx="2">
                    <c:v>194</c:v>
                  </c:pt>
                  <c:pt idx="3">
                    <c:v>48</c:v>
                  </c:pt>
                  <c:pt idx="4">
                    <c:v>76</c:v>
                  </c:pt>
                  <c:pt idx="5">
                    <c:v>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5D9-2146-A66D-BF5B623F9288}"/>
            </c:ext>
          </c:extLst>
        </c:ser>
        <c:ser>
          <c:idx val="2"/>
          <c:order val="2"/>
          <c:tx>
            <c:strRef>
              <c:f>各校上线对比【物理】!$D$4</c:f>
              <c:strCache>
                <c:ptCount val="1"/>
                <c:pt idx="0">
                  <c:v>高优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F90B532-10F9-1A43-8C89-3874C8AC18C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F0C365-3F22-AA4F-89B7-AF38435F04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6AD2477-3CE8-3345-9C20-0B07182250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FF893E-54A6-AD44-AAFE-C603BF0336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67E584-DF5B-804C-8A10-18D88DC051B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9EE3B4-B2F7-664B-AA48-F3D7199071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各校上线对比【物理】!$H$5:$H$10</c:f>
              <c:numCache>
                <c:formatCode>0.0%</c:formatCode>
                <c:ptCount val="6"/>
                <c:pt idx="0">
                  <c:v>0.79515418502202639</c:v>
                </c:pt>
                <c:pt idx="1">
                  <c:v>0.46207376478775225</c:v>
                </c:pt>
                <c:pt idx="2">
                  <c:v>0.52413793103448281</c:v>
                </c:pt>
                <c:pt idx="3">
                  <c:v>0.33203125</c:v>
                </c:pt>
                <c:pt idx="4">
                  <c:v>0.466796875</c:v>
                </c:pt>
                <c:pt idx="5">
                  <c:v>0.18192090395480226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各校上线对比【物理】!$D$5:$D$10</c15:f>
                <c15:dlblRangeCache>
                  <c:ptCount val="6"/>
                  <c:pt idx="0">
                    <c:v>361</c:v>
                  </c:pt>
                  <c:pt idx="1">
                    <c:v>664</c:v>
                  </c:pt>
                  <c:pt idx="2">
                    <c:v>456</c:v>
                  </c:pt>
                  <c:pt idx="3">
                    <c:v>170</c:v>
                  </c:pt>
                  <c:pt idx="4">
                    <c:v>239</c:v>
                  </c:pt>
                  <c:pt idx="5">
                    <c:v>161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5D9-2146-A66D-BF5B623F9288}"/>
            </c:ext>
          </c:extLst>
        </c:ser>
        <c:ser>
          <c:idx val="3"/>
          <c:order val="3"/>
          <c:tx>
            <c:strRef>
              <c:f>各校上线对比【物理】!$E$4</c:f>
              <c:strCache>
                <c:ptCount val="1"/>
                <c:pt idx="0">
                  <c:v>一本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7330CF7-6630-A644-BBBA-501B728CBDF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7C98DA-7158-4A4D-B5E9-9508852EE3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E3B866-6D88-7C42-AAF6-37F445061EA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3DB16B-630A-7D46-9D37-9B8A225785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97BD70A-A9EC-BA4D-840D-4E4EAAB04D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D24A859-CD78-954E-A802-C845D4F033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各校上线对比【物理】!$I$5:$I$10</c:f>
              <c:numCache>
                <c:formatCode>0.0%</c:formatCode>
                <c:ptCount val="6"/>
                <c:pt idx="0">
                  <c:v>0.99339207048458145</c:v>
                </c:pt>
                <c:pt idx="1">
                  <c:v>0.91788448155880309</c:v>
                </c:pt>
                <c:pt idx="2">
                  <c:v>0.91839080459770117</c:v>
                </c:pt>
                <c:pt idx="3">
                  <c:v>0.859375</c:v>
                </c:pt>
                <c:pt idx="4">
                  <c:v>0.9375</c:v>
                </c:pt>
                <c:pt idx="5">
                  <c:v>0.59887005649717517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各校上线对比【物理】!$E$5:$E$10</c15:f>
                <c15:dlblRangeCache>
                  <c:ptCount val="6"/>
                  <c:pt idx="0">
                    <c:v>451</c:v>
                  </c:pt>
                  <c:pt idx="1">
                    <c:v>1319</c:v>
                  </c:pt>
                  <c:pt idx="2">
                    <c:v>799</c:v>
                  </c:pt>
                  <c:pt idx="3">
                    <c:v>440</c:v>
                  </c:pt>
                  <c:pt idx="4">
                    <c:v>480</c:v>
                  </c:pt>
                  <c:pt idx="5">
                    <c:v>530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75D9-2146-A66D-BF5B623F9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5344352"/>
        <c:axId val="625346080"/>
      </c:barChart>
      <c:catAx>
        <c:axId val="6253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346080"/>
        <c:crosses val="autoZero"/>
        <c:auto val="1"/>
        <c:lblAlgn val="ctr"/>
        <c:lblOffset val="100"/>
        <c:noMultiLvlLbl val="0"/>
      </c:catAx>
      <c:valAx>
        <c:axId val="625346080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62534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部分学校上线对比（历史类）</a:t>
            </a:r>
            <a:endParaRPr lang="zh-CN" altLang="zh-CN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各校上线对比【历史】!$B$1</c:f>
              <c:strCache>
                <c:ptCount val="1"/>
                <c:pt idx="0">
                  <c:v>清北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E3F6AF4-C1D2-644E-A9AB-44A9D8E3B4D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68F-BA4F-94DC-4B22ADCD83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0A2670-E5DD-344A-9A41-EF3ACD571C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68F-BA4F-94DC-4B22ADCD83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D619C4-88E1-3749-AE08-A53836E9A2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68F-BA4F-94DC-4B22ADCD83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C43F6D-52F9-7748-ACCA-0666224095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68F-BA4F-94DC-4B22ADCD831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D1E13DA-4080-4C4D-9B61-25F8E46DBB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68F-BA4F-94DC-4B22ADCD8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各校上线对比【历史】!$A$2:$A$6</c:f>
              <c:strCache>
                <c:ptCount val="5"/>
                <c:pt idx="0">
                  <c:v>襄阳五中</c:v>
                </c:pt>
                <c:pt idx="1">
                  <c:v>宜昌夷陵中学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各校上线对比【历史】!$F$2:$F$6</c:f>
              <c:numCache>
                <c:formatCode>0.0%</c:formatCode>
                <c:ptCount val="5"/>
                <c:pt idx="0">
                  <c:v>1.2987012987012988E-2</c:v>
                </c:pt>
                <c:pt idx="1">
                  <c:v>1.1406844106463879E-2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各校上线对比【历史】!$B$2:$B$6</c15:f>
                <c15:dlblRangeCache>
                  <c:ptCount val="5"/>
                  <c:pt idx="0">
                    <c:v>6</c:v>
                  </c:pt>
                  <c:pt idx="1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68F-BA4F-94DC-4B22ADCD8314}"/>
            </c:ext>
          </c:extLst>
        </c:ser>
        <c:ser>
          <c:idx val="1"/>
          <c:order val="1"/>
          <c:tx>
            <c:strRef>
              <c:f>各校上线对比【历史】!$C$1</c:f>
              <c:strCache>
                <c:ptCount val="1"/>
                <c:pt idx="0">
                  <c:v>华武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623E08D-8E9E-2D4D-AEEC-FE2B97E7D56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68F-BA4F-94DC-4B22ADCD83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BFC25C-BFFD-0C49-86B3-AB876BCEB1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68F-BA4F-94DC-4B22ADCD83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D8AAB1-FA32-D44E-931B-6C40B6345F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68F-BA4F-94DC-4B22ADCD83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7E2C054-E761-7342-9E9F-B7F237BB3A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68F-BA4F-94DC-4B22ADCD831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354BA7-A723-774D-95CC-07F97EA87B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68F-BA4F-94DC-4B22ADCD8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各校上线对比【历史】!$A$2:$A$6</c:f>
              <c:strCache>
                <c:ptCount val="5"/>
                <c:pt idx="0">
                  <c:v>襄阳五中</c:v>
                </c:pt>
                <c:pt idx="1">
                  <c:v>宜昌夷陵中学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各校上线对比【历史】!$G$2:$G$6</c:f>
              <c:numCache>
                <c:formatCode>0.0%</c:formatCode>
                <c:ptCount val="5"/>
                <c:pt idx="0">
                  <c:v>0.2943722943722944</c:v>
                </c:pt>
                <c:pt idx="1">
                  <c:v>0.26996197718631176</c:v>
                </c:pt>
                <c:pt idx="2">
                  <c:v>8.2352941176470587E-2</c:v>
                </c:pt>
                <c:pt idx="3">
                  <c:v>3.2258064516129031E-2</c:v>
                </c:pt>
                <c:pt idx="4">
                  <c:v>1.4285714285714285E-2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各校上线对比【历史】!$C$2:$C$6</c15:f>
                <c15:dlblRangeCache>
                  <c:ptCount val="5"/>
                  <c:pt idx="0">
                    <c:v>136</c:v>
                  </c:pt>
                  <c:pt idx="1">
                    <c:v>71</c:v>
                  </c:pt>
                  <c:pt idx="2">
                    <c:v>7</c:v>
                  </c:pt>
                  <c:pt idx="3">
                    <c:v>4</c:v>
                  </c:pt>
                  <c:pt idx="4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68F-BA4F-94DC-4B22ADCD8314}"/>
            </c:ext>
          </c:extLst>
        </c:ser>
        <c:ser>
          <c:idx val="2"/>
          <c:order val="2"/>
          <c:tx>
            <c:strRef>
              <c:f>各校上线对比【历史】!$D$1</c:f>
              <c:strCache>
                <c:ptCount val="1"/>
                <c:pt idx="0">
                  <c:v>高优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B829BFE-6AF4-4E4D-AC74-CA7D8DEB3FF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68F-BA4F-94DC-4B22ADCD83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FD69E3-FEAC-5F4A-8A64-28F72A7CA4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68F-BA4F-94DC-4B22ADCD83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2BD497-9988-5541-954B-B0C8B0DB8B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68F-BA4F-94DC-4B22ADCD83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5D82497-C5CB-214A-82DA-7C640ED4A9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68F-BA4F-94DC-4B22ADCD831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14C6FC-3D71-5145-B5E5-76D92B10EF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68F-BA4F-94DC-4B22ADCD8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各校上线对比【历史】!$A$2:$A$6</c:f>
              <c:strCache>
                <c:ptCount val="5"/>
                <c:pt idx="0">
                  <c:v>襄阳五中</c:v>
                </c:pt>
                <c:pt idx="1">
                  <c:v>宜昌夷陵中学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各校上线对比【历史】!$H$2:$H$6</c:f>
              <c:numCache>
                <c:formatCode>0.0%</c:formatCode>
                <c:ptCount val="5"/>
                <c:pt idx="0">
                  <c:v>0.42857142857142855</c:v>
                </c:pt>
                <c:pt idx="1">
                  <c:v>0.39543726235741444</c:v>
                </c:pt>
                <c:pt idx="2">
                  <c:v>0.24705882352941178</c:v>
                </c:pt>
                <c:pt idx="3">
                  <c:v>8.0645161290322578E-2</c:v>
                </c:pt>
                <c:pt idx="4">
                  <c:v>4.2857142857142858E-2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各校上线对比【历史】!$D$2:$D$6</c15:f>
                <c15:dlblRangeCache>
                  <c:ptCount val="5"/>
                  <c:pt idx="0">
                    <c:v>198</c:v>
                  </c:pt>
                  <c:pt idx="1">
                    <c:v>104</c:v>
                  </c:pt>
                  <c:pt idx="2">
                    <c:v>21</c:v>
                  </c:pt>
                  <c:pt idx="3">
                    <c:v>10</c:v>
                  </c:pt>
                  <c:pt idx="4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68F-BA4F-94DC-4B22ADCD8314}"/>
            </c:ext>
          </c:extLst>
        </c:ser>
        <c:ser>
          <c:idx val="3"/>
          <c:order val="3"/>
          <c:tx>
            <c:strRef>
              <c:f>各校上线对比【历史】!$E$1</c:f>
              <c:strCache>
                <c:ptCount val="1"/>
                <c:pt idx="0">
                  <c:v>一本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11DDA8C-CBEA-AF4E-8707-35838F1E79D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68F-BA4F-94DC-4B22ADCD83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369EE9-CAC7-9145-9FFB-641F3374583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68F-BA4F-94DC-4B22ADCD83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07FC6F-F15F-3A48-94DF-24013BD3D8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68F-BA4F-94DC-4B22ADCD83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A517CD-CAEF-9343-A891-EC7C0D1BBE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68F-BA4F-94DC-4B22ADCD831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8BE663-2F82-5B43-8B85-040280D588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68F-BA4F-94DC-4B22ADCD8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各校上线对比【历史】!$A$2:$A$6</c:f>
              <c:strCache>
                <c:ptCount val="5"/>
                <c:pt idx="0">
                  <c:v>襄阳五中</c:v>
                </c:pt>
                <c:pt idx="1">
                  <c:v>宜昌夷陵中学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各校上线对比【历史】!$I$2:$I$6</c:f>
              <c:numCache>
                <c:formatCode>0.0%</c:formatCode>
                <c:ptCount val="5"/>
                <c:pt idx="0">
                  <c:v>0.93073593073593075</c:v>
                </c:pt>
                <c:pt idx="1">
                  <c:v>0.79087452471482889</c:v>
                </c:pt>
                <c:pt idx="2">
                  <c:v>0.78823529411764703</c:v>
                </c:pt>
                <c:pt idx="3">
                  <c:v>0.41935483870967744</c:v>
                </c:pt>
                <c:pt idx="4">
                  <c:v>0.61428571428571432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各校上线对比【历史】!$E$2:$E$6</c15:f>
                <c15:dlblRangeCache>
                  <c:ptCount val="5"/>
                  <c:pt idx="0">
                    <c:v>430</c:v>
                  </c:pt>
                  <c:pt idx="1">
                    <c:v>208</c:v>
                  </c:pt>
                  <c:pt idx="2">
                    <c:v>67</c:v>
                  </c:pt>
                  <c:pt idx="3">
                    <c:v>52</c:v>
                  </c:pt>
                  <c:pt idx="4">
                    <c:v>43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68F-BA4F-94DC-4B22ADCD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4586512"/>
        <c:axId val="624588224"/>
      </c:barChart>
      <c:catAx>
        <c:axId val="62458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4588224"/>
        <c:crosses val="autoZero"/>
        <c:auto val="1"/>
        <c:lblAlgn val="ctr"/>
        <c:lblOffset val="100"/>
        <c:noMultiLvlLbl val="0"/>
      </c:catAx>
      <c:valAx>
        <c:axId val="62458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62458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部分学校上线对比（综合）</a:t>
            </a:r>
            <a:endParaRPr lang="zh-CN" altLang="zh-CN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各校上线对比【综合】!$F$1</c:f>
              <c:strCache>
                <c:ptCount val="1"/>
                <c:pt idx="0">
                  <c:v>清北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BC250D8-3518-A04C-9E7E-EF8122A9978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FF9-E74C-91AC-D8F93858A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6DE5238-61CF-9A41-8C32-082E92A7BE6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FF9-E74C-91AC-D8F93858A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553C82-6B6A-D04A-B30F-DFAD2F9F8B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FF9-E74C-91AC-D8F93858A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4451AF-DE63-9A4A-8B3A-05A646469A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FF9-E74C-91AC-D8F93858A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82C2FE-87A4-D949-9A66-3B8F612E33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FF9-E74C-91AC-D8F93858A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94962BB-B272-5D4A-A001-DCD020B931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FF9-E74C-91AC-D8F93858A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各校上线对比【综合】!$A$2:$A$7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各校上线对比【综合】!$F$2:$F$7</c:f>
              <c:numCache>
                <c:formatCode>0.0%</c:formatCode>
                <c:ptCount val="6"/>
                <c:pt idx="0">
                  <c:v>3.5573122529644272E-2</c:v>
                </c:pt>
                <c:pt idx="1">
                  <c:v>1.2111637704054766E-2</c:v>
                </c:pt>
                <c:pt idx="2">
                  <c:v>5.2956751985878204E-3</c:v>
                </c:pt>
                <c:pt idx="3">
                  <c:v>3.4364261168384879E-3</c:v>
                </c:pt>
                <c:pt idx="4">
                  <c:v>1.6750418760469012E-3</c:v>
                </c:pt>
                <c:pt idx="5">
                  <c:v>9.9108027750247768E-4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各校上线对比【综合】!$B$2:$B$7</c15:f>
                <c15:dlblRangeCache>
                  <c:ptCount val="6"/>
                  <c:pt idx="0">
                    <c:v>18</c:v>
                  </c:pt>
                  <c:pt idx="1">
                    <c:v>23</c:v>
                  </c:pt>
                  <c:pt idx="2">
                    <c:v>6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FF9-E74C-91AC-D8F93858A726}"/>
            </c:ext>
          </c:extLst>
        </c:ser>
        <c:ser>
          <c:idx val="1"/>
          <c:order val="1"/>
          <c:tx>
            <c:strRef>
              <c:f>各校上线对比【综合】!$G$1</c:f>
              <c:strCache>
                <c:ptCount val="1"/>
                <c:pt idx="0">
                  <c:v>华武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6622717-78ED-D54C-A9EA-0CCF546FCB7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FF9-E74C-91AC-D8F93858A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7EEBF1-5697-D049-9EE8-35FFA45378E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FF9-E74C-91AC-D8F93858A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584092-D1AA-0D49-A4E0-F09A7A0460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FF9-E74C-91AC-D8F93858A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A5DF49-0079-6B4A-921A-A63F7428C6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FF9-E74C-91AC-D8F93858A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E3690F-F0C1-0043-9CFF-01B0C9448E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FF9-E74C-91AC-D8F93858A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044AFB9-8FCF-7E4F-A415-98C4C629AF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FF9-E74C-91AC-D8F93858A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各校上线对比【综合】!$A$2:$A$7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各校上线对比【综合】!$G$2:$G$7</c:f>
              <c:numCache>
                <c:formatCode>0.0%</c:formatCode>
                <c:ptCount val="6"/>
                <c:pt idx="0">
                  <c:v>0.50197628458498023</c:v>
                </c:pt>
                <c:pt idx="1">
                  <c:v>0.23117430226434965</c:v>
                </c:pt>
                <c:pt idx="2">
                  <c:v>0.23389232127096204</c:v>
                </c:pt>
                <c:pt idx="3">
                  <c:v>8.4192439862542962E-2</c:v>
                </c:pt>
                <c:pt idx="4">
                  <c:v>0.13902847571189281</c:v>
                </c:pt>
                <c:pt idx="5">
                  <c:v>5.0545094152626362E-2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各校上线对比【综合】!$C$2:$C$7</c15:f>
                <c15:dlblRangeCache>
                  <c:ptCount val="6"/>
                  <c:pt idx="0">
                    <c:v>254</c:v>
                  </c:pt>
                  <c:pt idx="1">
                    <c:v>439</c:v>
                  </c:pt>
                  <c:pt idx="2">
                    <c:v>265</c:v>
                  </c:pt>
                  <c:pt idx="3">
                    <c:v>49</c:v>
                  </c:pt>
                  <c:pt idx="4">
                    <c:v>83</c:v>
                  </c:pt>
                  <c:pt idx="5">
                    <c:v>51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FF9-E74C-91AC-D8F93858A726}"/>
            </c:ext>
          </c:extLst>
        </c:ser>
        <c:ser>
          <c:idx val="2"/>
          <c:order val="2"/>
          <c:tx>
            <c:strRef>
              <c:f>各校上线对比【综合】!$H$1</c:f>
              <c:strCache>
                <c:ptCount val="1"/>
                <c:pt idx="0">
                  <c:v>高优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5EED07E-B34C-2147-856D-E8257FC95F3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FF9-E74C-91AC-D8F93858A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D189A2-9531-074B-9978-2D6D92103F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FF9-E74C-91AC-D8F93858A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540ECF-AF81-7D41-AEE7-3EC9678FC6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FF9-E74C-91AC-D8F93858A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7C0A966-799B-FF4A-9E66-F9820856A3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FF9-E74C-91AC-D8F93858A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8A0522-E19E-5944-ACF7-1EF97DA95D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FF9-E74C-91AC-D8F93858A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759B5C-2316-D149-B8DF-4B18B97BCE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FF9-E74C-91AC-D8F93858A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各校上线对比【综合】!$A$2:$A$7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各校上线对比【综合】!$H$2:$H$7</c:f>
              <c:numCache>
                <c:formatCode>0.0%</c:formatCode>
                <c:ptCount val="6"/>
                <c:pt idx="0">
                  <c:v>0.79051383399209485</c:v>
                </c:pt>
                <c:pt idx="1">
                  <c:v>0.45392311743022645</c:v>
                </c:pt>
                <c:pt idx="2">
                  <c:v>0.49426301853486321</c:v>
                </c:pt>
                <c:pt idx="3">
                  <c:v>0.29725085910652921</c:v>
                </c:pt>
                <c:pt idx="4">
                  <c:v>0.43551088777219432</c:v>
                </c:pt>
                <c:pt idx="5">
                  <c:v>0.16947472745292369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各校上线对比【综合】!$D$2:$D$7</c15:f>
                <c15:dlblRangeCache>
                  <c:ptCount val="6"/>
                  <c:pt idx="0">
                    <c:v>400</c:v>
                  </c:pt>
                  <c:pt idx="1">
                    <c:v>862</c:v>
                  </c:pt>
                  <c:pt idx="2">
                    <c:v>560</c:v>
                  </c:pt>
                  <c:pt idx="3">
                    <c:v>173</c:v>
                  </c:pt>
                  <c:pt idx="4">
                    <c:v>260</c:v>
                  </c:pt>
                  <c:pt idx="5">
                    <c:v>171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FF9-E74C-91AC-D8F93858A726}"/>
            </c:ext>
          </c:extLst>
        </c:ser>
        <c:ser>
          <c:idx val="3"/>
          <c:order val="3"/>
          <c:tx>
            <c:strRef>
              <c:f>各校上线对比【综合】!$I$1</c:f>
              <c:strCache>
                <c:ptCount val="1"/>
                <c:pt idx="0">
                  <c:v>一本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E65A227-62B9-BF4B-9A21-3E1A35FA0D8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FF9-E74C-91AC-D8F93858A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50303E-9CA7-5948-ACA1-EA0F0F0A18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FF9-E74C-91AC-D8F93858A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813323-81DD-3343-AB22-5310CC6498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FF9-E74C-91AC-D8F93858A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2411AF-2384-C843-913E-8176A2B481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FF9-E74C-91AC-D8F93858A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DD5840-0FF2-6A4D-A9EA-05B3075F1B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FF9-E74C-91AC-D8F93858A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652456-624E-D442-8D73-1DF2A881B3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FF9-E74C-91AC-D8F93858A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各校上线对比【综合】!$A$2:$A$7</c:f>
              <c:strCache>
                <c:ptCount val="6"/>
                <c:pt idx="0">
                  <c:v>武昌实验中学</c:v>
                </c:pt>
                <c:pt idx="1">
                  <c:v>襄阳五中</c:v>
                </c:pt>
                <c:pt idx="2">
                  <c:v>宜昌夷陵中学</c:v>
                </c:pt>
                <c:pt idx="3">
                  <c:v>武汉汉阳一中</c:v>
                </c:pt>
                <c:pt idx="4">
                  <c:v>武汉洪山高中</c:v>
                </c:pt>
                <c:pt idx="5">
                  <c:v>武汉江夏一中</c:v>
                </c:pt>
              </c:strCache>
            </c:strRef>
          </c:cat>
          <c:val>
            <c:numRef>
              <c:f>各校上线对比【综合】!$I$2:$I$7</c:f>
              <c:numCache>
                <c:formatCode>0.0%</c:formatCode>
                <c:ptCount val="6"/>
                <c:pt idx="0">
                  <c:v>0.9920948616600791</c:v>
                </c:pt>
                <c:pt idx="1">
                  <c:v>0.92101105845181674</c:v>
                </c:pt>
                <c:pt idx="2">
                  <c:v>0.88879082082965577</c:v>
                </c:pt>
                <c:pt idx="3">
                  <c:v>0.82989690721649489</c:v>
                </c:pt>
                <c:pt idx="4">
                  <c:v>0.91624790619765495</c:v>
                </c:pt>
                <c:pt idx="5">
                  <c:v>0.57680872150644202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各校上线对比【综合】!$E$2:$E$7</c15:f>
                <c15:dlblRangeCache>
                  <c:ptCount val="6"/>
                  <c:pt idx="0">
                    <c:v>502</c:v>
                  </c:pt>
                  <c:pt idx="1">
                    <c:v>1749</c:v>
                  </c:pt>
                  <c:pt idx="2">
                    <c:v>1007</c:v>
                  </c:pt>
                  <c:pt idx="3">
                    <c:v>483</c:v>
                  </c:pt>
                  <c:pt idx="4">
                    <c:v>547</c:v>
                  </c:pt>
                  <c:pt idx="5">
                    <c:v>582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FF9-E74C-91AC-D8F93858A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9022112"/>
        <c:axId val="629123392"/>
      </c:barChart>
      <c:catAx>
        <c:axId val="62902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9123392"/>
        <c:crosses val="autoZero"/>
        <c:auto val="1"/>
        <c:lblAlgn val="ctr"/>
        <c:lblOffset val="100"/>
        <c:noMultiLvlLbl val="0"/>
      </c:catAx>
      <c:valAx>
        <c:axId val="6291233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2902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/>
              <a:t>部分学校前</a:t>
            </a:r>
            <a:r>
              <a:rPr lang="en-US" altLang="zh-CN"/>
              <a:t>30%</a:t>
            </a:r>
            <a:r>
              <a:rPr lang="zh-CN" altLang="en-US"/>
              <a:t>均分对比（物理类）</a:t>
            </a:r>
            <a:endParaRPr lang="zh-CN"/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'前30%均分对比【物理】'!$C$1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'前30%均分对比【物理】'!$C$2:$C$6</c:f>
              <c:numCache>
                <c:formatCode>0.0</c:formatCode>
                <c:ptCount val="5"/>
                <c:pt idx="0">
                  <c:v>114.11</c:v>
                </c:pt>
                <c:pt idx="1">
                  <c:v>111.78</c:v>
                </c:pt>
                <c:pt idx="2">
                  <c:v>109.46</c:v>
                </c:pt>
                <c:pt idx="3">
                  <c:v>109.41</c:v>
                </c:pt>
                <c:pt idx="4">
                  <c:v>106.14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F-364A-A37A-874E32434EC7}"/>
            </c:ext>
          </c:extLst>
        </c:ser>
        <c:ser>
          <c:idx val="2"/>
          <c:order val="1"/>
          <c:tx>
            <c:strRef>
              <c:f>'前30%均分对比【物理】'!$D$1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'前30%均分对比【物理】'!$D$2:$D$6</c:f>
              <c:numCache>
                <c:formatCode>0.0</c:formatCode>
                <c:ptCount val="5"/>
                <c:pt idx="0">
                  <c:v>127.06</c:v>
                </c:pt>
                <c:pt idx="1">
                  <c:v>116.8</c:v>
                </c:pt>
                <c:pt idx="2">
                  <c:v>110.35</c:v>
                </c:pt>
                <c:pt idx="3">
                  <c:v>114.32</c:v>
                </c:pt>
                <c:pt idx="4">
                  <c:v>104.57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F-364A-A37A-874E32434EC7}"/>
            </c:ext>
          </c:extLst>
        </c:ser>
        <c:ser>
          <c:idx val="3"/>
          <c:order val="2"/>
          <c:tx>
            <c:strRef>
              <c:f>'前30%均分对比【物理】'!$E$1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'前30%均分对比【物理】'!$E$2:$E$6</c:f>
              <c:numCache>
                <c:formatCode>0.0</c:formatCode>
                <c:ptCount val="5"/>
                <c:pt idx="0">
                  <c:v>130</c:v>
                </c:pt>
                <c:pt idx="1">
                  <c:v>122.39</c:v>
                </c:pt>
                <c:pt idx="2">
                  <c:v>117.75</c:v>
                </c:pt>
                <c:pt idx="3">
                  <c:v>119.74</c:v>
                </c:pt>
                <c:pt idx="4">
                  <c:v>111.11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BF-364A-A37A-874E3243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5577168"/>
        <c:axId val="625578880"/>
      </c:barChart>
      <c:lineChart>
        <c:grouping val="standard"/>
        <c:varyColors val="0"/>
        <c:ser>
          <c:idx val="0"/>
          <c:order val="3"/>
          <c:tx>
            <c:strRef>
              <c:f>'前30%均分对比【物理】'!$B$1</c:f>
              <c:strCache>
                <c:ptCount val="1"/>
                <c:pt idx="0">
                  <c:v>总分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'前30%均分对比【物理】'!$B$2:$B$6</c:f>
              <c:numCache>
                <c:formatCode>0.0</c:formatCode>
                <c:ptCount val="5"/>
                <c:pt idx="0">
                  <c:v>638.25</c:v>
                </c:pt>
                <c:pt idx="1">
                  <c:v>614.91</c:v>
                </c:pt>
                <c:pt idx="2">
                  <c:v>590.25</c:v>
                </c:pt>
                <c:pt idx="3">
                  <c:v>600</c:v>
                </c:pt>
                <c:pt idx="4">
                  <c:v>568.42999999999995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BF-364A-A37A-874E3243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718624"/>
        <c:axId val="625715664"/>
      </c:lineChart>
      <c:catAx>
        <c:axId val="62557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8880"/>
        <c:crosses val="autoZero"/>
        <c:auto val="1"/>
        <c:lblAlgn val="ctr"/>
        <c:lblOffset val="100"/>
        <c:noMultiLvlLbl val="0"/>
      </c:catAx>
      <c:valAx>
        <c:axId val="625578880"/>
        <c:scaling>
          <c:orientation val="minMax"/>
          <c:max val="16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7168"/>
        <c:crosses val="autoZero"/>
        <c:crossBetween val="between"/>
      </c:valAx>
      <c:valAx>
        <c:axId val="625715664"/>
        <c:scaling>
          <c:orientation val="minMax"/>
          <c:max val="650"/>
          <c:min val="4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718624"/>
        <c:crosses val="max"/>
        <c:crossBetween val="between"/>
      </c:valAx>
      <c:catAx>
        <c:axId val="62571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715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部分学校前</a:t>
            </a:r>
            <a:r>
              <a:rPr lang="en-US" altLang="zh-CN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30%</a:t>
            </a: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均分对比（物理类）</a:t>
            </a:r>
            <a:endParaRPr lang="zh-CN" altLang="zh-CN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'前30%均分对比【物理】'!$F$1</c:f>
              <c:strCache>
                <c:ptCount val="1"/>
                <c:pt idx="0">
                  <c:v>物理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'前30%均分对比【物理】'!$F$2:$F$6</c:f>
              <c:numCache>
                <c:formatCode>0.0</c:formatCode>
                <c:ptCount val="5"/>
                <c:pt idx="0">
                  <c:v>86.7</c:v>
                </c:pt>
                <c:pt idx="1">
                  <c:v>84</c:v>
                </c:pt>
                <c:pt idx="2">
                  <c:v>76.709999999999994</c:v>
                </c:pt>
                <c:pt idx="3">
                  <c:v>80.010000000000005</c:v>
                </c:pt>
                <c:pt idx="4">
                  <c:v>74.430000000000007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B-DB44-936D-0511EE9FFCA8}"/>
            </c:ext>
          </c:extLst>
        </c:ser>
        <c:ser>
          <c:idx val="1"/>
          <c:order val="1"/>
          <c:tx>
            <c:strRef>
              <c:f>'前30%均分对比【物理】'!$G$1</c:f>
              <c:strCache>
                <c:ptCount val="1"/>
                <c:pt idx="0">
                  <c:v>化学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'前30%均分对比【物理】'!$G$2:$G$6</c:f>
              <c:numCache>
                <c:formatCode>0.0</c:formatCode>
                <c:ptCount val="5"/>
                <c:pt idx="0">
                  <c:v>91.98</c:v>
                </c:pt>
                <c:pt idx="1">
                  <c:v>90.54</c:v>
                </c:pt>
                <c:pt idx="2">
                  <c:v>89.55</c:v>
                </c:pt>
                <c:pt idx="3">
                  <c:v>89.15</c:v>
                </c:pt>
                <c:pt idx="4">
                  <c:v>87.27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B-DB44-936D-0511EE9FFCA8}"/>
            </c:ext>
          </c:extLst>
        </c:ser>
        <c:ser>
          <c:idx val="2"/>
          <c:order val="2"/>
          <c:tx>
            <c:strRef>
              <c:f>'前30%均分对比【物理】'!$H$1</c:f>
              <c:strCache>
                <c:ptCount val="1"/>
                <c:pt idx="0">
                  <c:v>生物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'前30%均分对比【物理】'!$H$2:$H$6</c:f>
              <c:numCache>
                <c:formatCode>0.0</c:formatCode>
                <c:ptCount val="5"/>
                <c:pt idx="0">
                  <c:v>88.41</c:v>
                </c:pt>
                <c:pt idx="1">
                  <c:v>89.51</c:v>
                </c:pt>
                <c:pt idx="2">
                  <c:v>86.41</c:v>
                </c:pt>
                <c:pt idx="3">
                  <c:v>87.56</c:v>
                </c:pt>
                <c:pt idx="4">
                  <c:v>85.94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B-DB44-936D-0511EE9FFCA8}"/>
            </c:ext>
          </c:extLst>
        </c:ser>
        <c:ser>
          <c:idx val="3"/>
          <c:order val="3"/>
          <c:tx>
            <c:strRef>
              <c:f>'前30%均分对比【物理】'!$I$1</c:f>
              <c:strCache>
                <c:ptCount val="1"/>
                <c:pt idx="0">
                  <c:v>政治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'前30%均分对比【物理】'!$I$2:$I$6</c:f>
              <c:numCache>
                <c:formatCode>0.0</c:formatCode>
                <c:ptCount val="5"/>
                <c:pt idx="0">
                  <c:v>89</c:v>
                </c:pt>
                <c:pt idx="1">
                  <c:v>88.69</c:v>
                </c:pt>
                <c:pt idx="2">
                  <c:v>91.2</c:v>
                </c:pt>
                <c:pt idx="3">
                  <c:v>78.33</c:v>
                </c:pt>
                <c:pt idx="4">
                  <c:v>79.709999999999994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B-DB44-936D-0511EE9FF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6764672"/>
        <c:axId val="626766384"/>
      </c:barChart>
      <c:catAx>
        <c:axId val="6267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6766384"/>
        <c:crosses val="autoZero"/>
        <c:auto val="1"/>
        <c:lblAlgn val="ctr"/>
        <c:lblOffset val="100"/>
        <c:noMultiLvlLbl val="0"/>
      </c:catAx>
      <c:valAx>
        <c:axId val="626766384"/>
        <c:scaling>
          <c:orientation val="minMax"/>
          <c:min val="6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6267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/>
              <a:t>部分学校前</a:t>
            </a:r>
            <a:r>
              <a:rPr lang="en-US" altLang="zh-CN"/>
              <a:t>30%</a:t>
            </a:r>
            <a:r>
              <a:rPr lang="zh-CN" altLang="en-US"/>
              <a:t>均分对比（历史类）</a:t>
            </a:r>
            <a:endParaRPr lang="zh-CN"/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'前30%均分对比【物理】'!$C$1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'前30%均分对比【历史】'!$C$2:$C$6</c:f>
              <c:numCache>
                <c:formatCode>0.0</c:formatCode>
                <c:ptCount val="5"/>
                <c:pt idx="0">
                  <c:v>116.3</c:v>
                </c:pt>
                <c:pt idx="1">
                  <c:v>116.8</c:v>
                </c:pt>
                <c:pt idx="2">
                  <c:v>111.31</c:v>
                </c:pt>
                <c:pt idx="3">
                  <c:v>113.78</c:v>
                </c:pt>
                <c:pt idx="4">
                  <c:v>107.43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F-FB4D-AC43-2AB74B1E0047}"/>
            </c:ext>
          </c:extLst>
        </c:ser>
        <c:ser>
          <c:idx val="2"/>
          <c:order val="1"/>
          <c:tx>
            <c:strRef>
              <c:f>'前30%均分对比【物理】'!$D$1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'前30%均分对比【历史】'!$D$2:$D$6</c:f>
              <c:numCache>
                <c:formatCode>0.0</c:formatCode>
                <c:ptCount val="5"/>
                <c:pt idx="0">
                  <c:v>112.17</c:v>
                </c:pt>
                <c:pt idx="1">
                  <c:v>103.97</c:v>
                </c:pt>
                <c:pt idx="2">
                  <c:v>80.900000000000006</c:v>
                </c:pt>
                <c:pt idx="3">
                  <c:v>97.02</c:v>
                </c:pt>
                <c:pt idx="4">
                  <c:v>81.41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F-FB4D-AC43-2AB74B1E0047}"/>
            </c:ext>
          </c:extLst>
        </c:ser>
        <c:ser>
          <c:idx val="3"/>
          <c:order val="2"/>
          <c:tx>
            <c:strRef>
              <c:f>'前30%均分对比【物理】'!$E$1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'前30%均分对比【历史】'!$E$2:$E$6</c:f>
              <c:numCache>
                <c:formatCode>0.0</c:formatCode>
                <c:ptCount val="5"/>
                <c:pt idx="0">
                  <c:v>131.6</c:v>
                </c:pt>
                <c:pt idx="1">
                  <c:v>126.85</c:v>
                </c:pt>
                <c:pt idx="2">
                  <c:v>114.9</c:v>
                </c:pt>
                <c:pt idx="3">
                  <c:v>126.72</c:v>
                </c:pt>
                <c:pt idx="4">
                  <c:v>111.05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4F-FB4D-AC43-2AB74B1E0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5577168"/>
        <c:axId val="625578880"/>
      </c:barChart>
      <c:lineChart>
        <c:grouping val="standard"/>
        <c:varyColors val="0"/>
        <c:ser>
          <c:idx val="0"/>
          <c:order val="3"/>
          <c:tx>
            <c:strRef>
              <c:f>'前30%均分对比【物理】'!$B$1</c:f>
              <c:strCache>
                <c:ptCount val="1"/>
                <c:pt idx="0">
                  <c:v>总分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'前30%均分对比【历史】'!$B$2:$B$6</c:f>
              <c:numCache>
                <c:formatCode>0.0</c:formatCode>
                <c:ptCount val="5"/>
                <c:pt idx="0">
                  <c:v>608</c:v>
                </c:pt>
                <c:pt idx="1">
                  <c:v>600.28</c:v>
                </c:pt>
                <c:pt idx="2">
                  <c:v>535.57000000000005</c:v>
                </c:pt>
                <c:pt idx="3">
                  <c:v>569.20000000000005</c:v>
                </c:pt>
                <c:pt idx="4">
                  <c:v>530.88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4F-FB4D-AC43-2AB74B1E0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718624"/>
        <c:axId val="625715664"/>
      </c:lineChart>
      <c:catAx>
        <c:axId val="62557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8880"/>
        <c:crosses val="autoZero"/>
        <c:auto val="1"/>
        <c:lblAlgn val="ctr"/>
        <c:lblOffset val="100"/>
        <c:noMultiLvlLbl val="0"/>
      </c:catAx>
      <c:valAx>
        <c:axId val="625578880"/>
        <c:scaling>
          <c:orientation val="minMax"/>
          <c:max val="16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7168"/>
        <c:crosses val="autoZero"/>
        <c:crossBetween val="between"/>
      </c:valAx>
      <c:valAx>
        <c:axId val="625715664"/>
        <c:scaling>
          <c:orientation val="minMax"/>
          <c:max val="650"/>
          <c:min val="2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718624"/>
        <c:crosses val="max"/>
        <c:crossBetween val="between"/>
      </c:valAx>
      <c:catAx>
        <c:axId val="62571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715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部分学校前</a:t>
            </a:r>
            <a:r>
              <a:rPr lang="en-US" altLang="zh-CN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30%</a:t>
            </a: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均分对比（历史类）</a:t>
            </a:r>
            <a:endParaRPr lang="zh-CN" altLang="zh-CN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'前30%均分对比【历史】'!$F$1</c:f>
              <c:strCache>
                <c:ptCount val="1"/>
                <c:pt idx="0">
                  <c:v>历史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'前30%均分对比【历史】'!$F$2:$F$6</c:f>
              <c:numCache>
                <c:formatCode>0.0</c:formatCode>
                <c:ptCount val="5"/>
                <c:pt idx="0">
                  <c:v>70.73</c:v>
                </c:pt>
                <c:pt idx="1">
                  <c:v>70.97</c:v>
                </c:pt>
                <c:pt idx="2">
                  <c:v>64.790000000000006</c:v>
                </c:pt>
                <c:pt idx="3">
                  <c:v>66.12</c:v>
                </c:pt>
                <c:pt idx="4">
                  <c:v>66.12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3-AE49-A32D-E73F463FA7CF}"/>
            </c:ext>
          </c:extLst>
        </c:ser>
        <c:ser>
          <c:idx val="1"/>
          <c:order val="1"/>
          <c:tx>
            <c:strRef>
              <c:f>'前30%均分对比【历史】'!$G$1</c:f>
              <c:strCache>
                <c:ptCount val="1"/>
                <c:pt idx="0">
                  <c:v>政治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'前30%均分对比【历史】'!$G$2:$G$6</c:f>
              <c:numCache>
                <c:formatCode>0.0</c:formatCode>
                <c:ptCount val="5"/>
                <c:pt idx="0">
                  <c:v>89.8</c:v>
                </c:pt>
                <c:pt idx="1">
                  <c:v>92.49</c:v>
                </c:pt>
                <c:pt idx="2">
                  <c:v>84.81</c:v>
                </c:pt>
                <c:pt idx="3">
                  <c:v>85.36</c:v>
                </c:pt>
                <c:pt idx="4">
                  <c:v>84.59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3-AE49-A32D-E73F463FA7CF}"/>
            </c:ext>
          </c:extLst>
        </c:ser>
        <c:ser>
          <c:idx val="2"/>
          <c:order val="2"/>
          <c:tx>
            <c:strRef>
              <c:f>'前30%均分对比【历史】'!$H$1</c:f>
              <c:strCache>
                <c:ptCount val="1"/>
                <c:pt idx="0">
                  <c:v>地理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武汉汉阳一中</c:v>
                </c:pt>
                <c:pt idx="3">
                  <c:v>武汉洪山高中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'前30%均分对比【历史】'!$H$2:$H$6</c:f>
              <c:numCache>
                <c:formatCode>0.0</c:formatCode>
                <c:ptCount val="5"/>
                <c:pt idx="0">
                  <c:v>87.4</c:v>
                </c:pt>
                <c:pt idx="1">
                  <c:v>88.76</c:v>
                </c:pt>
                <c:pt idx="2">
                  <c:v>78.86</c:v>
                </c:pt>
                <c:pt idx="3">
                  <c:v>80.2</c:v>
                </c:pt>
                <c:pt idx="4">
                  <c:v>80.27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3-AE49-A32D-E73F463F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6764672"/>
        <c:axId val="626766384"/>
      </c:barChart>
      <c:catAx>
        <c:axId val="6267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6766384"/>
        <c:crosses val="autoZero"/>
        <c:auto val="1"/>
        <c:lblAlgn val="ctr"/>
        <c:lblOffset val="100"/>
        <c:noMultiLvlLbl val="0"/>
      </c:catAx>
      <c:valAx>
        <c:axId val="626766384"/>
        <c:scaling>
          <c:orientation val="minMax"/>
          <c:min val="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crossAx val="6267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0D1E042-2799-D64F-A0AF-D90C4C23EC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42-4F44-A528-229F4ABDDF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DCF86B-E848-5E49-8692-DB7C75E8C8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242-4F44-A528-229F4ABDDF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44A9B8-CD94-BE41-AB29-0145584CD5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242-4F44-A528-229F4ABDDF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DC3472D-0C8A-D24F-9096-FDB62E3B44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242-4F44-A528-229F4ABDDF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CC288CD-DA2D-6E40-89D6-AC99267DEC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242-4F44-A528-229F4ABDDFA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E0CEB80-FFC4-3949-B58C-D248B47C0A4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242-4F44-A528-229F4ABDDF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A3CC48-AFBB-334D-BF7C-198F0F0525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242-4F44-A528-229F4ABDDF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'学科贡献度（物理类）'!$B$2:$B$8</c:f>
              <c:numCache>
                <c:formatCode>General</c:formatCode>
                <c:ptCount val="7"/>
                <c:pt idx="0">
                  <c:v>0.88</c:v>
                </c:pt>
                <c:pt idx="1">
                  <c:v>0.9</c:v>
                </c:pt>
                <c:pt idx="2">
                  <c:v>0.95</c:v>
                </c:pt>
                <c:pt idx="3">
                  <c:v>0.93</c:v>
                </c:pt>
                <c:pt idx="4">
                  <c:v>0.85</c:v>
                </c:pt>
                <c:pt idx="5">
                  <c:v>0.88</c:v>
                </c:pt>
                <c:pt idx="6">
                  <c:v>0.33</c:v>
                </c:pt>
              </c:numCache>
            </c:numRef>
          </c:xVal>
          <c:yVal>
            <c:numRef>
              <c:f>'学科贡献度（物理类）'!$C$2:$C$8</c:f>
              <c:numCache>
                <c:formatCode>General</c:formatCode>
                <c:ptCount val="7"/>
                <c:pt idx="0">
                  <c:v>0.96</c:v>
                </c:pt>
                <c:pt idx="1">
                  <c:v>0.98</c:v>
                </c:pt>
                <c:pt idx="2">
                  <c:v>0.96</c:v>
                </c:pt>
                <c:pt idx="3">
                  <c:v>0.99</c:v>
                </c:pt>
                <c:pt idx="4">
                  <c:v>0.99</c:v>
                </c:pt>
                <c:pt idx="5">
                  <c:v>0.98</c:v>
                </c:pt>
                <c:pt idx="6">
                  <c:v>0.86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'学科贡献度（物理类）'!$A$2:$A$8</c15:f>
                <c15:dlblRangeCache>
                  <c:ptCount val="7"/>
                  <c:pt idx="0">
                    <c:v>语文</c:v>
                  </c:pt>
                  <c:pt idx="1">
                    <c:v>数学</c:v>
                  </c:pt>
                  <c:pt idx="2">
                    <c:v>英语</c:v>
                  </c:pt>
                  <c:pt idx="3">
                    <c:v>物理</c:v>
                  </c:pt>
                  <c:pt idx="4">
                    <c:v>化学</c:v>
                  </c:pt>
                  <c:pt idx="5">
                    <c:v>生物</c:v>
                  </c:pt>
                  <c:pt idx="6">
                    <c:v>政治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242-4F44-A528-229F4ABDDFA4}"/>
            </c:ext>
          </c:extLst>
        </c:ser>
        <c:ser>
          <c:idx val="1"/>
          <c:order val="1"/>
          <c:tx>
            <c:v>辅助列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.3250000000000000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.1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'学科贡献度（物理类）'!$B$10</c:f>
              <c:numCache>
                <c:formatCode>General</c:formatCode>
                <c:ptCount val="1"/>
                <c:pt idx="0">
                  <c:v>0.89800000000000002</c:v>
                </c:pt>
              </c:numCache>
            </c:numRef>
          </c:xVal>
          <c:yVal>
            <c:numRef>
              <c:f>'学科贡献度（物理类）'!$C$10</c:f>
              <c:numCache>
                <c:formatCode>General</c:formatCode>
                <c:ptCount val="1"/>
                <c:pt idx="0">
                  <c:v>0.97599999999999998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42-4F44-A528-229F4ABDD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46736"/>
        <c:axId val="625648448"/>
      </c:scatterChart>
      <c:valAx>
        <c:axId val="625646736"/>
        <c:scaling>
          <c:orientation val="minMax"/>
          <c:max val="1.05"/>
          <c:min val="0.3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/>
                  <a:t>命中率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648448"/>
        <c:crosses val="autoZero"/>
        <c:crossBetween val="midCat"/>
      </c:valAx>
      <c:valAx>
        <c:axId val="625648448"/>
        <c:scaling>
          <c:orientation val="minMax"/>
          <c:max val="1"/>
          <c:min val="0.8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/>
                  <a:t>贡献率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64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/>
              <a:t>各学科贡献度（物理类）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D11-EE49-A85F-CACFFC14F770}"/>
              </c:ext>
            </c:extLst>
          </c:dPt>
          <c:dPt>
            <c:idx val="2"/>
            <c:marker>
              <c:spPr>
                <a:solidFill>
                  <a:srgbClr val="00B0F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D11-EE49-A85F-CACFFC14F770}"/>
              </c:ext>
            </c:extLst>
          </c:dPt>
          <c:dPt>
            <c:idx val="3"/>
            <c:marker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D11-EE49-A85F-CACFFC14F770}"/>
              </c:ext>
            </c:extLst>
          </c:dPt>
          <c:dPt>
            <c:idx val="4"/>
            <c:marker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D11-EE49-A85F-CACFFC14F770}"/>
              </c:ext>
            </c:extLst>
          </c:dPt>
          <c:dPt>
            <c:idx val="5"/>
            <c:marker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D11-EE49-A85F-CACFFC14F77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86EEB2A-8D59-0D45-BF99-4A6F12CC1F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D11-EE49-A85F-CACFFC14F77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09A664-80E6-8C4F-9040-4C2556238E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D11-EE49-A85F-CACFFC14F77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F4CED3A-1947-EA4C-8823-71C76DA171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D11-EE49-A85F-CACFFC14F77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9E2D8D7-5C6E-5343-88A4-0AC9BE4744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D11-EE49-A85F-CACFFC14F77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62F1FC-42C3-054B-BA0A-6F5566D09F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D11-EE49-A85F-CACFFC14F77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627C83E-CEA0-D548-9D93-0D0A3766A9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11-EE49-A85F-CACFFC14F7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'学科贡献度（物理类）'!$B$2:$B$7</c:f>
              <c:numCache>
                <c:formatCode>General</c:formatCode>
                <c:ptCount val="6"/>
                <c:pt idx="0">
                  <c:v>0.88</c:v>
                </c:pt>
                <c:pt idx="1">
                  <c:v>0.9</c:v>
                </c:pt>
                <c:pt idx="2">
                  <c:v>0.95</c:v>
                </c:pt>
                <c:pt idx="3">
                  <c:v>0.93</c:v>
                </c:pt>
                <c:pt idx="4">
                  <c:v>0.85</c:v>
                </c:pt>
                <c:pt idx="5">
                  <c:v>0.88</c:v>
                </c:pt>
              </c:numCache>
            </c:numRef>
          </c:xVal>
          <c:yVal>
            <c:numRef>
              <c:f>'学科贡献度（物理类）'!$C$2:$C$7</c:f>
              <c:numCache>
                <c:formatCode>General</c:formatCode>
                <c:ptCount val="6"/>
                <c:pt idx="0">
                  <c:v>0.96</c:v>
                </c:pt>
                <c:pt idx="1">
                  <c:v>0.98</c:v>
                </c:pt>
                <c:pt idx="2">
                  <c:v>0.96</c:v>
                </c:pt>
                <c:pt idx="3">
                  <c:v>0.99</c:v>
                </c:pt>
                <c:pt idx="4">
                  <c:v>0.99</c:v>
                </c:pt>
                <c:pt idx="5">
                  <c:v>0.98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'学科贡献度（物理类）'!$A$2:$A$7</c15:f>
                <c15:dlblRangeCache>
                  <c:ptCount val="6"/>
                  <c:pt idx="0">
                    <c:v>语文</c:v>
                  </c:pt>
                  <c:pt idx="1">
                    <c:v>数学</c:v>
                  </c:pt>
                  <c:pt idx="2">
                    <c:v>英语</c:v>
                  </c:pt>
                  <c:pt idx="3">
                    <c:v>物理</c:v>
                  </c:pt>
                  <c:pt idx="4">
                    <c:v>化学</c:v>
                  </c:pt>
                  <c:pt idx="5">
                    <c:v>生物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D11-EE49-A85F-CACFFC14F770}"/>
            </c:ext>
          </c:extLst>
        </c:ser>
        <c:ser>
          <c:idx val="1"/>
          <c:order val="1"/>
          <c:tx>
            <c:strRef>
              <c:f>'学科贡献度（物理类）'!$A$10</c:f>
              <c:strCache>
                <c:ptCount val="1"/>
                <c:pt idx="0">
                  <c:v>辅助列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.0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.0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'学科贡献度（物理类）'!$B$10</c:f>
              <c:numCache>
                <c:formatCode>General</c:formatCode>
                <c:ptCount val="1"/>
                <c:pt idx="0">
                  <c:v>0.89800000000000002</c:v>
                </c:pt>
              </c:numCache>
            </c:numRef>
          </c:xVal>
          <c:yVal>
            <c:numRef>
              <c:f>'学科贡献度（物理类）'!$C$10</c:f>
              <c:numCache>
                <c:formatCode>General</c:formatCode>
                <c:ptCount val="1"/>
                <c:pt idx="0">
                  <c:v>0.97599999999999998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11-EE49-A85F-CACFFC14F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918208"/>
        <c:axId val="1153977376"/>
      </c:scatterChart>
      <c:valAx>
        <c:axId val="1153918208"/>
        <c:scaling>
          <c:orientation val="minMax"/>
          <c:max val="0.98"/>
          <c:min val="0.82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/>
                  <a:t>命中率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153977376"/>
        <c:crosses val="autoZero"/>
        <c:crossBetween val="midCat"/>
      </c:valAx>
      <c:valAx>
        <c:axId val="1153977376"/>
        <c:scaling>
          <c:orientation val="minMax"/>
          <c:min val="0.95499999999999996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/>
                  <a:t>贡献率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15391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/>
              <a:t>各学科贡献度（历史类）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78F-1045-8CD2-B559AB06AE38}"/>
              </c:ext>
            </c:extLst>
          </c:dPt>
          <c:dPt>
            <c:idx val="1"/>
            <c:marker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78F-1045-8CD2-B559AB06AE38}"/>
              </c:ext>
            </c:extLst>
          </c:dPt>
          <c:dPt>
            <c:idx val="3"/>
            <c:marker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78F-1045-8CD2-B559AB06AE38}"/>
              </c:ext>
            </c:extLst>
          </c:dPt>
          <c:dPt>
            <c:idx val="4"/>
            <c:marker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78F-1045-8CD2-B559AB06AE38}"/>
              </c:ext>
            </c:extLst>
          </c:dPt>
          <c:dPt>
            <c:idx val="5"/>
            <c:marker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78F-1045-8CD2-B559AB06AE3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68784BD-7674-464C-96F1-A7971AFF70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78F-1045-8CD2-B559AB06AE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950671-9A64-324B-8B33-CCA75AD5F1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8F-1045-8CD2-B559AB06AE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43BD68-A390-6345-A963-1958B31E36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8F-1045-8CD2-B559AB06AE3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0C99E2-FED7-F745-B2C6-E2456D7344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78F-1045-8CD2-B559AB06AE3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F20E2B-2252-174C-8DE7-4C06AF2976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78F-1045-8CD2-B559AB06AE3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107042C-F545-B445-98E4-54041C1A7F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78F-1045-8CD2-B559AB06AE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'学科贡献度（历史类）'!$B$2:$B$7</c:f>
              <c:numCache>
                <c:formatCode>General</c:formatCode>
                <c:ptCount val="6"/>
                <c:pt idx="0">
                  <c:v>0.82</c:v>
                </c:pt>
                <c:pt idx="1">
                  <c:v>0.91</c:v>
                </c:pt>
                <c:pt idx="2">
                  <c:v>0.96</c:v>
                </c:pt>
                <c:pt idx="3">
                  <c:v>0.61</c:v>
                </c:pt>
                <c:pt idx="4">
                  <c:v>0.46</c:v>
                </c:pt>
                <c:pt idx="5">
                  <c:v>0.39</c:v>
                </c:pt>
              </c:numCache>
            </c:numRef>
          </c:xVal>
          <c:yVal>
            <c:numRef>
              <c:f>'学科贡献度（历史类）'!$C$2:$C$7</c:f>
              <c:numCache>
                <c:formatCode>General</c:formatCode>
                <c:ptCount val="6"/>
                <c:pt idx="0">
                  <c:v>0.9</c:v>
                </c:pt>
                <c:pt idx="1">
                  <c:v>0.94</c:v>
                </c:pt>
                <c:pt idx="2">
                  <c:v>0.94</c:v>
                </c:pt>
                <c:pt idx="3">
                  <c:v>0.93</c:v>
                </c:pt>
                <c:pt idx="4">
                  <c:v>0.94</c:v>
                </c:pt>
                <c:pt idx="5">
                  <c:v>0.93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'学科贡献度（历史类）'!$A$2:$A$7</c15:f>
                <c15:dlblRangeCache>
                  <c:ptCount val="6"/>
                  <c:pt idx="0">
                    <c:v>语文</c:v>
                  </c:pt>
                  <c:pt idx="1">
                    <c:v>数学</c:v>
                  </c:pt>
                  <c:pt idx="2">
                    <c:v>英语</c:v>
                  </c:pt>
                  <c:pt idx="3">
                    <c:v>历史</c:v>
                  </c:pt>
                  <c:pt idx="4">
                    <c:v>政治</c:v>
                  </c:pt>
                  <c:pt idx="5">
                    <c:v>地理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78F-1045-8CD2-B559AB06AE38}"/>
            </c:ext>
          </c:extLst>
        </c:ser>
        <c:ser>
          <c:idx val="1"/>
          <c:order val="1"/>
          <c:tx>
            <c:strRef>
              <c:f>'学科贡献度（历史类）'!$A$9</c:f>
              <c:strCache>
                <c:ptCount val="1"/>
                <c:pt idx="0">
                  <c:v>辅助列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.4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.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'学科贡献度（历史类）'!$B$9</c:f>
              <c:numCache>
                <c:formatCode>General</c:formatCode>
                <c:ptCount val="1"/>
                <c:pt idx="0">
                  <c:v>0.69099999999999995</c:v>
                </c:pt>
              </c:numCache>
            </c:numRef>
          </c:xVal>
          <c:yVal>
            <c:numRef>
              <c:f>'学科贡献度（历史类）'!$C$9</c:f>
              <c:numCache>
                <c:formatCode>General</c:formatCode>
                <c:ptCount val="1"/>
                <c:pt idx="0">
                  <c:v>0.92500000000000004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78F-1045-8CD2-B559AB06A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576864"/>
        <c:axId val="1153829440"/>
      </c:scatterChart>
      <c:valAx>
        <c:axId val="1153576864"/>
        <c:scaling>
          <c:orientation val="minMax"/>
          <c:max val="1.0900000000000001"/>
          <c:min val="0.28999999999999998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/>
                  <a:t>命中率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1153829440"/>
        <c:crosses val="autoZero"/>
        <c:crossBetween val="midCat"/>
      </c:valAx>
      <c:valAx>
        <c:axId val="1153829440"/>
        <c:scaling>
          <c:orientation val="minMax"/>
          <c:max val="0.95"/>
          <c:min val="0.89900000000000002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/>
                  <a:t>贡献率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115357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10</xdr:row>
      <xdr:rowOff>101600</xdr:rowOff>
    </xdr:from>
    <xdr:to>
      <xdr:col>19</xdr:col>
      <xdr:colOff>647700</xdr:colOff>
      <xdr:row>51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4ECE299-861C-F495-D981-8878C4EED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6</xdr:row>
      <xdr:rowOff>114300</xdr:rowOff>
    </xdr:from>
    <xdr:to>
      <xdr:col>16</xdr:col>
      <xdr:colOff>800100</xdr:colOff>
      <xdr:row>48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A6CF53-482F-2053-3381-33DCAFD07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7</xdr:row>
      <xdr:rowOff>50800</xdr:rowOff>
    </xdr:from>
    <xdr:to>
      <xdr:col>19</xdr:col>
      <xdr:colOff>685800</xdr:colOff>
      <xdr:row>49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CFC1854-12F3-9C61-A902-386259D9D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425450</xdr:colOff>
      <xdr:row>6</xdr:row>
      <xdr:rowOff>88900</xdr:rowOff>
    </xdr:from>
    <xdr:to>
      <xdr:col>18</xdr:col>
      <xdr:colOff>0</xdr:colOff>
      <xdr:row>42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F25D792-3ED4-E172-CA0A-F7E15C2FA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425450</xdr:colOff>
      <xdr:row>43</xdr:row>
      <xdr:rowOff>127000</xdr:rowOff>
    </xdr:from>
    <xdr:to>
      <xdr:col>17</xdr:col>
      <xdr:colOff>812800</xdr:colOff>
      <xdr:row>79</xdr:row>
      <xdr:rowOff>127000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7ADBDF9-65D6-DEB3-37B3-7FC4173AC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16</xdr:col>
      <xdr:colOff>158750</xdr:colOff>
      <xdr:row>42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68F1EB-D493-B344-821F-AE075822B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16</xdr:col>
      <xdr:colOff>146050</xdr:colOff>
      <xdr:row>80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5692F67-03EA-1844-B50E-2B1007CA0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392871</xdr:colOff>
      <xdr:row>1</xdr:row>
      <xdr:rowOff>12700</xdr:rowOff>
    </xdr:from>
    <xdr:to>
      <xdr:col>17</xdr:col>
      <xdr:colOff>386521</xdr:colOff>
      <xdr:row>40</xdr:row>
      <xdr:rowOff>12700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837A97C-6F1D-408A-8093-29A627DC0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824578</xdr:colOff>
      <xdr:row>0</xdr:row>
      <xdr:rowOff>220503</xdr:rowOff>
    </xdr:from>
    <xdr:to>
      <xdr:col>32</xdr:col>
      <xdr:colOff>809854</xdr:colOff>
      <xdr:row>40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402C957-EBD8-01E8-0BB5-3AEBEDDDA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0.7345</cdr:x>
      <cdr:y>0.08625</cdr:y>
    </cdr:from>
    <cdr:to>
      <cdr:x>0.97775</cdr:x>
      <cdr:y>0.16507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B83FEFE1-D457-728B-32BB-ED3A4A4D0F55}"/>
            </a:ext>
          </a:extLst>
        </cdr:cNvPr>
        <cdr:cNvSpPr/>
      </cdr:nvSpPr>
      <cdr:spPr>
        <a:xfrm xmlns:a="http://schemas.openxmlformats.org/drawingml/2006/main">
          <a:off x="9114551" y="644569"/>
          <a:ext cx="3018552" cy="58898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水平较高，贡献到位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0.73978</cdr:x>
      <cdr:y>0.87375</cdr:y>
    </cdr:from>
    <cdr:to>
      <cdr:x>0.98303</cdr:x>
      <cdr:y>0.95256</cdr:y>
    </cdr:to>
    <cdr:sp macro="" textlink="">
      <cdr:nvSpPr>
        <cdr:cNvPr id="3" name="矩形 2">
          <a:extLst xmlns:a="http://schemas.openxmlformats.org/drawingml/2006/main">
            <a:ext uri="{FF2B5EF4-FFF2-40B4-BE49-F238E27FC236}">
              <a16:creationId xmlns:a16="http://schemas.microsoft.com/office/drawing/2014/main" id="{7E99AB7A-A2CA-4D0F-3C32-20F1B1FFC205}"/>
            </a:ext>
          </a:extLst>
        </cdr:cNvPr>
        <cdr:cNvSpPr/>
      </cdr:nvSpPr>
      <cdr:spPr>
        <a:xfrm xmlns:a="http://schemas.openxmlformats.org/drawingml/2006/main">
          <a:off x="9180076" y="6529640"/>
          <a:ext cx="3018552" cy="58898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水平较高，贡献偏低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0.02486</cdr:x>
      <cdr:y>0.09793</cdr:y>
    </cdr:from>
    <cdr:to>
      <cdr:x>0.26811</cdr:x>
      <cdr:y>0.17674</cdr:y>
    </cdr:to>
    <cdr:sp macro="" textlink="">
      <cdr:nvSpPr>
        <cdr:cNvPr id="4" name="矩形 3">
          <a:extLst xmlns:a="http://schemas.openxmlformats.org/drawingml/2006/main">
            <a:ext uri="{FF2B5EF4-FFF2-40B4-BE49-F238E27FC236}">
              <a16:creationId xmlns:a16="http://schemas.microsoft.com/office/drawing/2014/main" id="{7E99AB7A-A2CA-4D0F-3C32-20F1B1FFC205}"/>
            </a:ext>
          </a:extLst>
        </cdr:cNvPr>
        <cdr:cNvSpPr/>
      </cdr:nvSpPr>
      <cdr:spPr>
        <a:xfrm xmlns:a="http://schemas.openxmlformats.org/drawingml/2006/main">
          <a:off x="308481" y="731815"/>
          <a:ext cx="3018552" cy="58898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水平较低，贡献到位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0.03228</cdr:x>
      <cdr:y>0.87621</cdr:y>
    </cdr:from>
    <cdr:to>
      <cdr:x>0.27553</cdr:x>
      <cdr:y>0.95503</cdr:y>
    </cdr:to>
    <cdr:sp macro="" textlink="">
      <cdr:nvSpPr>
        <cdr:cNvPr id="5" name="矩形 4">
          <a:extLst xmlns:a="http://schemas.openxmlformats.org/drawingml/2006/main">
            <a:ext uri="{FF2B5EF4-FFF2-40B4-BE49-F238E27FC236}">
              <a16:creationId xmlns:a16="http://schemas.microsoft.com/office/drawing/2014/main" id="{96203430-C65C-C5A3-6BB2-E00A0561813D}"/>
            </a:ext>
          </a:extLst>
        </cdr:cNvPr>
        <cdr:cNvSpPr/>
      </cdr:nvSpPr>
      <cdr:spPr>
        <a:xfrm xmlns:a="http://schemas.openxmlformats.org/drawingml/2006/main">
          <a:off x="400510" y="6548046"/>
          <a:ext cx="3018552" cy="58898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水平较低，贡献偏低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25400</xdr:rowOff>
    </xdr:from>
    <xdr:to>
      <xdr:col>18</xdr:col>
      <xdr:colOff>812800</xdr:colOff>
      <xdr:row>39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5A36AF8-6993-E856-BA11-977BAB7EE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43070</xdr:colOff>
      <xdr:row>2</xdr:row>
      <xdr:rowOff>76200</xdr:rowOff>
    </xdr:from>
    <xdr:to>
      <xdr:col>18</xdr:col>
      <xdr:colOff>585122</xdr:colOff>
      <xdr:row>4</xdr:row>
      <xdr:rowOff>207986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7FA5B6C-6842-E8FE-50E2-58A0E0BDB305}"/>
            </a:ext>
          </a:extLst>
        </xdr:cNvPr>
        <xdr:cNvSpPr/>
      </xdr:nvSpPr>
      <xdr:spPr>
        <a:xfrm>
          <a:off x="12425570" y="533400"/>
          <a:ext cx="3018552" cy="5889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水平较高，贡献到位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819795</xdr:colOff>
      <xdr:row>35</xdr:row>
      <xdr:rowOff>30371</xdr:rowOff>
    </xdr:from>
    <xdr:to>
      <xdr:col>18</xdr:col>
      <xdr:colOff>536347</xdr:colOff>
      <xdr:row>38</xdr:row>
      <xdr:rowOff>85957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88DDAE8-FCE3-49B5-284B-866FD746832B}"/>
            </a:ext>
          </a:extLst>
        </xdr:cNvPr>
        <xdr:cNvSpPr/>
      </xdr:nvSpPr>
      <xdr:spPr>
        <a:xfrm>
          <a:off x="12376795" y="6659771"/>
          <a:ext cx="3018552" cy="5889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水平较高，贡献偏低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292100</xdr:colOff>
      <xdr:row>2</xdr:row>
      <xdr:rowOff>125346</xdr:rowOff>
    </xdr:from>
    <xdr:to>
      <xdr:col>9</xdr:col>
      <xdr:colOff>8652</xdr:colOff>
      <xdr:row>5</xdr:row>
      <xdr:rowOff>28532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2B91FC2-76BB-A70A-9DEE-6C40A8A0BD15}"/>
            </a:ext>
          </a:extLst>
        </xdr:cNvPr>
        <xdr:cNvSpPr/>
      </xdr:nvSpPr>
      <xdr:spPr>
        <a:xfrm>
          <a:off x="4419600" y="582546"/>
          <a:ext cx="3018552" cy="5889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水平较低，贡献到位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333329</xdr:colOff>
      <xdr:row>35</xdr:row>
      <xdr:rowOff>48777</xdr:rowOff>
    </xdr:from>
    <xdr:to>
      <xdr:col>9</xdr:col>
      <xdr:colOff>49881</xdr:colOff>
      <xdr:row>38</xdr:row>
      <xdr:rowOff>104363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E72CB03-9B33-88F0-4C1D-B56729E8E27E}"/>
            </a:ext>
          </a:extLst>
        </xdr:cNvPr>
        <xdr:cNvSpPr/>
      </xdr:nvSpPr>
      <xdr:spPr>
        <a:xfrm>
          <a:off x="4460829" y="6678177"/>
          <a:ext cx="3018552" cy="5889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水平较低，贡献偏低</a:t>
          </a:r>
          <a:endParaRPr lang="zh-CN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090B-2B50-45A3-ADEF-A3598623EE7A}">
  <dimension ref="A1:J14"/>
  <sheetViews>
    <sheetView topLeftCell="A9" workbookViewId="0">
      <selection activeCell="A36" sqref="A36"/>
    </sheetView>
  </sheetViews>
  <sheetFormatPr baseColWidth="10" defaultColWidth="8.83203125" defaultRowHeight="14"/>
  <cols>
    <col min="1" max="1" width="18.1640625" customWidth="1"/>
    <col min="2" max="6" width="12.83203125" customWidth="1"/>
    <col min="7" max="9" width="10.83203125" customWidth="1"/>
  </cols>
  <sheetData>
    <row r="1" spans="1:10" ht="19">
      <c r="A1" s="1" t="s">
        <v>6</v>
      </c>
      <c r="E1" s="2"/>
      <c r="I1" s="2"/>
    </row>
    <row r="2" spans="1:10">
      <c r="E2" s="2"/>
      <c r="I2" s="2"/>
    </row>
    <row r="4" spans="1:10" ht="38">
      <c r="A4" s="1" t="s">
        <v>8</v>
      </c>
      <c r="B4" s="5" t="s">
        <v>9</v>
      </c>
      <c r="C4" s="6" t="s">
        <v>17</v>
      </c>
      <c r="D4" s="6" t="s">
        <v>18</v>
      </c>
      <c r="E4" s="5" t="s">
        <v>10</v>
      </c>
      <c r="F4" s="5" t="s">
        <v>9</v>
      </c>
      <c r="G4" s="6" t="s">
        <v>17</v>
      </c>
      <c r="H4" s="6" t="s">
        <v>18</v>
      </c>
      <c r="I4" s="5" t="s">
        <v>10</v>
      </c>
      <c r="J4" s="1" t="s">
        <v>7</v>
      </c>
    </row>
    <row r="5" spans="1:10" ht="20" customHeight="1">
      <c r="A5" s="1" t="s">
        <v>11</v>
      </c>
      <c r="B5" s="1">
        <v>18</v>
      </c>
      <c r="C5" s="1">
        <v>221</v>
      </c>
      <c r="D5" s="1">
        <v>361</v>
      </c>
      <c r="E5" s="1">
        <v>451</v>
      </c>
      <c r="F5" s="3">
        <f>B5/J5</f>
        <v>3.9647577092511016E-2</v>
      </c>
      <c r="G5" s="3">
        <f>C5/J5</f>
        <v>0.486784140969163</v>
      </c>
      <c r="H5" s="3">
        <f>D5/J5</f>
        <v>0.79515418502202639</v>
      </c>
      <c r="I5" s="3">
        <f>E5/J5</f>
        <v>0.99339207048458145</v>
      </c>
      <c r="J5" s="1">
        <v>454</v>
      </c>
    </row>
    <row r="6" spans="1:10" ht="19">
      <c r="A6" s="1" t="s">
        <v>12</v>
      </c>
      <c r="B6" s="1">
        <v>17</v>
      </c>
      <c r="C6" s="1">
        <v>303</v>
      </c>
      <c r="D6" s="1">
        <v>664</v>
      </c>
      <c r="E6" s="1">
        <v>1319</v>
      </c>
      <c r="F6" s="3">
        <f t="shared" ref="F6:F10" si="0">B6/J6</f>
        <v>1.1830201809324982E-2</v>
      </c>
      <c r="G6" s="3">
        <f t="shared" ref="G6:G10" si="1">C6/J6</f>
        <v>0.21085594989561587</v>
      </c>
      <c r="H6" s="3">
        <f t="shared" ref="H6:H10" si="2">D6/J6</f>
        <v>0.46207376478775225</v>
      </c>
      <c r="I6" s="3">
        <f t="shared" ref="I6:I10" si="3">E6/J6</f>
        <v>0.91788448155880309</v>
      </c>
      <c r="J6" s="1">
        <v>1437</v>
      </c>
    </row>
    <row r="7" spans="1:10" ht="19">
      <c r="A7" s="1" t="s">
        <v>13</v>
      </c>
      <c r="B7" s="1">
        <v>3</v>
      </c>
      <c r="C7" s="1">
        <v>194</v>
      </c>
      <c r="D7" s="1">
        <v>456</v>
      </c>
      <c r="E7" s="1">
        <v>799</v>
      </c>
      <c r="F7" s="3">
        <f t="shared" si="0"/>
        <v>3.4482758620689655E-3</v>
      </c>
      <c r="G7" s="3">
        <f t="shared" si="1"/>
        <v>0.22298850574712645</v>
      </c>
      <c r="H7" s="3">
        <f t="shared" si="2"/>
        <v>0.52413793103448281</v>
      </c>
      <c r="I7" s="3">
        <f t="shared" si="3"/>
        <v>0.91839080459770117</v>
      </c>
      <c r="J7" s="1">
        <v>870</v>
      </c>
    </row>
    <row r="8" spans="1:10" ht="19">
      <c r="A8" s="1" t="s">
        <v>14</v>
      </c>
      <c r="B8" s="1">
        <v>2</v>
      </c>
      <c r="C8" s="1">
        <v>48</v>
      </c>
      <c r="D8" s="1">
        <v>170</v>
      </c>
      <c r="E8" s="1">
        <v>440</v>
      </c>
      <c r="F8" s="3">
        <f t="shared" si="0"/>
        <v>3.90625E-3</v>
      </c>
      <c r="G8" s="3">
        <f t="shared" si="1"/>
        <v>9.375E-2</v>
      </c>
      <c r="H8" s="3">
        <f t="shared" si="2"/>
        <v>0.33203125</v>
      </c>
      <c r="I8" s="3">
        <f t="shared" si="3"/>
        <v>0.859375</v>
      </c>
      <c r="J8" s="1">
        <v>512</v>
      </c>
    </row>
    <row r="9" spans="1:10" ht="19">
      <c r="A9" s="1" t="s">
        <v>15</v>
      </c>
      <c r="B9" s="1">
        <v>1</v>
      </c>
      <c r="C9" s="1">
        <v>76</v>
      </c>
      <c r="D9" s="1">
        <v>239</v>
      </c>
      <c r="E9" s="1">
        <v>480</v>
      </c>
      <c r="F9" s="3">
        <f t="shared" si="0"/>
        <v>1.953125E-3</v>
      </c>
      <c r="G9" s="3">
        <f t="shared" si="1"/>
        <v>0.1484375</v>
      </c>
      <c r="H9" s="3">
        <f t="shared" si="2"/>
        <v>0.466796875</v>
      </c>
      <c r="I9" s="3">
        <f t="shared" si="3"/>
        <v>0.9375</v>
      </c>
      <c r="J9" s="1">
        <v>512</v>
      </c>
    </row>
    <row r="10" spans="1:10" ht="19">
      <c r="A10" s="1" t="s">
        <v>16</v>
      </c>
      <c r="B10" s="1">
        <v>1</v>
      </c>
      <c r="C10" s="1">
        <v>47</v>
      </c>
      <c r="D10" s="1">
        <v>161</v>
      </c>
      <c r="E10" s="1">
        <v>530</v>
      </c>
      <c r="F10" s="3">
        <f t="shared" si="0"/>
        <v>1.1299435028248588E-3</v>
      </c>
      <c r="G10" s="3">
        <f t="shared" si="1"/>
        <v>5.3107344632768359E-2</v>
      </c>
      <c r="H10" s="3">
        <f t="shared" si="2"/>
        <v>0.18192090395480226</v>
      </c>
      <c r="I10" s="3">
        <f t="shared" si="3"/>
        <v>0.59887005649717517</v>
      </c>
      <c r="J10" s="1">
        <v>885</v>
      </c>
    </row>
    <row r="14" spans="1:10" hidden="1"/>
  </sheetData>
  <sortState xmlns:xlrd2="http://schemas.microsoft.com/office/spreadsheetml/2017/richdata2" ref="A5:E10">
    <sortCondition descending="1" ref="B5:B10"/>
    <sortCondition descending="1" ref="C5:C10"/>
    <sortCondition descending="1" ref="D5:D10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C8CF-A0B0-E842-B0A6-2CD892847D2C}">
  <dimension ref="A1:J6"/>
  <sheetViews>
    <sheetView topLeftCell="A12" workbookViewId="0">
      <selection activeCell="L5" sqref="L5"/>
    </sheetView>
  </sheetViews>
  <sheetFormatPr baseColWidth="10" defaultRowHeight="14"/>
  <cols>
    <col min="1" max="1" width="17.83203125" customWidth="1"/>
    <col min="2" max="6" width="12.83203125" customWidth="1"/>
  </cols>
  <sheetData>
    <row r="1" spans="1:10" ht="19">
      <c r="A1" s="1" t="s">
        <v>8</v>
      </c>
      <c r="B1" s="5" t="s">
        <v>9</v>
      </c>
      <c r="C1" s="6" t="s">
        <v>17</v>
      </c>
      <c r="D1" s="6" t="s">
        <v>18</v>
      </c>
      <c r="E1" s="5" t="s">
        <v>10</v>
      </c>
      <c r="F1" s="5" t="s">
        <v>9</v>
      </c>
      <c r="G1" s="6" t="s">
        <v>17</v>
      </c>
      <c r="H1" s="6" t="s">
        <v>18</v>
      </c>
      <c r="I1" s="5" t="s">
        <v>10</v>
      </c>
      <c r="J1" s="1" t="s">
        <v>7</v>
      </c>
    </row>
    <row r="2" spans="1:10" ht="19">
      <c r="A2" s="1" t="s">
        <v>12</v>
      </c>
      <c r="B2" s="1">
        <v>6</v>
      </c>
      <c r="C2" s="1">
        <v>136</v>
      </c>
      <c r="D2" s="1">
        <v>198</v>
      </c>
      <c r="E2" s="1">
        <v>430</v>
      </c>
      <c r="F2" s="3">
        <f>B2/J2</f>
        <v>1.2987012987012988E-2</v>
      </c>
      <c r="G2" s="3">
        <f>C2/J2</f>
        <v>0.2943722943722944</v>
      </c>
      <c r="H2" s="3">
        <f>D2/J2</f>
        <v>0.42857142857142855</v>
      </c>
      <c r="I2" s="3">
        <f>E2/J2</f>
        <v>0.93073593073593075</v>
      </c>
      <c r="J2" s="1">
        <v>462</v>
      </c>
    </row>
    <row r="3" spans="1:10" ht="19">
      <c r="A3" s="1" t="s">
        <v>13</v>
      </c>
      <c r="B3" s="1">
        <v>3</v>
      </c>
      <c r="C3" s="1">
        <v>71</v>
      </c>
      <c r="D3" s="1">
        <v>104</v>
      </c>
      <c r="E3" s="1">
        <v>208</v>
      </c>
      <c r="F3" s="3">
        <f t="shared" ref="F3:F6" si="0">B3/J3</f>
        <v>1.1406844106463879E-2</v>
      </c>
      <c r="G3" s="3">
        <f t="shared" ref="G3:G6" si="1">C3/J3</f>
        <v>0.26996197718631176</v>
      </c>
      <c r="H3" s="3">
        <f t="shared" ref="H3:H6" si="2">D3/J3</f>
        <v>0.39543726235741444</v>
      </c>
      <c r="I3" s="3">
        <f t="shared" ref="I3:I6" si="3">E3/J3</f>
        <v>0.79087452471482889</v>
      </c>
      <c r="J3" s="1">
        <v>263</v>
      </c>
    </row>
    <row r="4" spans="1:10" ht="19">
      <c r="A4" s="1" t="s">
        <v>15</v>
      </c>
      <c r="B4" s="1"/>
      <c r="C4" s="4">
        <v>7</v>
      </c>
      <c r="D4" s="4">
        <v>21</v>
      </c>
      <c r="E4" s="1">
        <v>67</v>
      </c>
      <c r="F4" s="3">
        <f t="shared" si="0"/>
        <v>0</v>
      </c>
      <c r="G4" s="3">
        <f t="shared" si="1"/>
        <v>8.2352941176470587E-2</v>
      </c>
      <c r="H4" s="3">
        <f t="shared" si="2"/>
        <v>0.24705882352941178</v>
      </c>
      <c r="I4" s="3">
        <f t="shared" si="3"/>
        <v>0.78823529411764703</v>
      </c>
      <c r="J4" s="1">
        <v>85</v>
      </c>
    </row>
    <row r="5" spans="1:10" ht="19">
      <c r="A5" s="1" t="s">
        <v>16</v>
      </c>
      <c r="B5" s="5"/>
      <c r="C5" s="5">
        <v>4</v>
      </c>
      <c r="D5" s="5">
        <v>10</v>
      </c>
      <c r="E5" s="5">
        <v>52</v>
      </c>
      <c r="F5" s="3">
        <f t="shared" si="0"/>
        <v>0</v>
      </c>
      <c r="G5" s="3">
        <f t="shared" si="1"/>
        <v>3.2258064516129031E-2</v>
      </c>
      <c r="H5" s="3">
        <f t="shared" si="2"/>
        <v>8.0645161290322578E-2</v>
      </c>
      <c r="I5" s="3">
        <f t="shared" si="3"/>
        <v>0.41935483870967744</v>
      </c>
      <c r="J5" s="1">
        <v>124</v>
      </c>
    </row>
    <row r="6" spans="1:10" ht="19">
      <c r="A6" s="1" t="s">
        <v>14</v>
      </c>
      <c r="B6" s="1"/>
      <c r="C6" s="1">
        <v>1</v>
      </c>
      <c r="D6" s="1">
        <v>3</v>
      </c>
      <c r="E6" s="1">
        <v>43</v>
      </c>
      <c r="F6" s="3">
        <f t="shared" si="0"/>
        <v>0</v>
      </c>
      <c r="G6" s="3">
        <f t="shared" si="1"/>
        <v>1.4285714285714285E-2</v>
      </c>
      <c r="H6" s="3">
        <f t="shared" si="2"/>
        <v>4.2857142857142858E-2</v>
      </c>
      <c r="I6" s="3">
        <f t="shared" si="3"/>
        <v>0.61428571428571432</v>
      </c>
      <c r="J6" s="1">
        <v>70</v>
      </c>
    </row>
  </sheetData>
  <sortState xmlns:xlrd2="http://schemas.microsoft.com/office/spreadsheetml/2017/richdata2" ref="A1:J8">
    <sortCondition descending="1" ref="B1:B8"/>
    <sortCondition descending="1" ref="C1:C8"/>
    <sortCondition descending="1" ref="D1:D8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F649-D25F-B645-9B70-BB27C82431CA}">
  <dimension ref="A1:J7"/>
  <sheetViews>
    <sheetView topLeftCell="A7" workbookViewId="0">
      <selection activeCell="M5" sqref="M5"/>
    </sheetView>
  </sheetViews>
  <sheetFormatPr baseColWidth="10" defaultRowHeight="14"/>
  <cols>
    <col min="1" max="1" width="17.83203125" customWidth="1"/>
    <col min="7" max="9" width="10.83203125" customWidth="1"/>
  </cols>
  <sheetData>
    <row r="1" spans="1:10" ht="19">
      <c r="A1" s="1" t="s">
        <v>8</v>
      </c>
      <c r="B1" s="5" t="s">
        <v>9</v>
      </c>
      <c r="C1" s="6" t="s">
        <v>17</v>
      </c>
      <c r="D1" s="6" t="s">
        <v>18</v>
      </c>
      <c r="E1" s="5" t="s">
        <v>10</v>
      </c>
      <c r="F1" s="5" t="s">
        <v>9</v>
      </c>
      <c r="G1" s="6" t="s">
        <v>17</v>
      </c>
      <c r="H1" s="6" t="s">
        <v>18</v>
      </c>
      <c r="I1" s="5" t="s">
        <v>10</v>
      </c>
      <c r="J1" s="5" t="s">
        <v>7</v>
      </c>
    </row>
    <row r="2" spans="1:10" ht="19">
      <c r="A2" s="1" t="s">
        <v>11</v>
      </c>
      <c r="B2" s="1">
        <v>18</v>
      </c>
      <c r="C2" s="1">
        <v>254</v>
      </c>
      <c r="D2" s="1">
        <v>400</v>
      </c>
      <c r="E2" s="1">
        <v>502</v>
      </c>
      <c r="F2" s="3">
        <f>B2/J2</f>
        <v>3.5573122529644272E-2</v>
      </c>
      <c r="G2" s="3">
        <f t="shared" ref="G2:G7" si="0">C2/J2</f>
        <v>0.50197628458498023</v>
      </c>
      <c r="H2" s="3">
        <f t="shared" ref="H2:H7" si="1">D2/J2</f>
        <v>0.79051383399209485</v>
      </c>
      <c r="I2" s="3">
        <f t="shared" ref="I2:I7" si="2">E2/J2</f>
        <v>0.9920948616600791</v>
      </c>
      <c r="J2" s="1">
        <v>506</v>
      </c>
    </row>
    <row r="3" spans="1:10" ht="19">
      <c r="A3" s="1" t="s">
        <v>12</v>
      </c>
      <c r="B3" s="1">
        <v>23</v>
      </c>
      <c r="C3" s="1">
        <v>439</v>
      </c>
      <c r="D3" s="1">
        <v>862</v>
      </c>
      <c r="E3" s="1">
        <v>1749</v>
      </c>
      <c r="F3" s="3">
        <f t="shared" ref="F3:F7" si="3">B3/J3</f>
        <v>1.2111637704054766E-2</v>
      </c>
      <c r="G3" s="3">
        <f t="shared" si="0"/>
        <v>0.23117430226434965</v>
      </c>
      <c r="H3" s="3">
        <f t="shared" si="1"/>
        <v>0.45392311743022645</v>
      </c>
      <c r="I3" s="3">
        <f t="shared" si="2"/>
        <v>0.92101105845181674</v>
      </c>
      <c r="J3" s="1">
        <v>1899</v>
      </c>
    </row>
    <row r="4" spans="1:10" ht="19">
      <c r="A4" s="1" t="s">
        <v>13</v>
      </c>
      <c r="B4" s="4">
        <v>6</v>
      </c>
      <c r="C4" s="4">
        <v>265</v>
      </c>
      <c r="D4" s="1">
        <v>560</v>
      </c>
      <c r="E4" s="1">
        <v>1007</v>
      </c>
      <c r="F4" s="3">
        <f t="shared" si="3"/>
        <v>5.2956751985878204E-3</v>
      </c>
      <c r="G4" s="3">
        <f t="shared" si="0"/>
        <v>0.23389232127096204</v>
      </c>
      <c r="H4" s="3">
        <f t="shared" si="1"/>
        <v>0.49426301853486321</v>
      </c>
      <c r="I4" s="3">
        <f t="shared" si="2"/>
        <v>0.88879082082965577</v>
      </c>
      <c r="J4" s="1">
        <v>1133</v>
      </c>
    </row>
    <row r="5" spans="1:10" ht="19">
      <c r="A5" s="1" t="s">
        <v>14</v>
      </c>
      <c r="B5" s="1">
        <v>2</v>
      </c>
      <c r="C5" s="1">
        <v>49</v>
      </c>
      <c r="D5" s="1">
        <v>173</v>
      </c>
      <c r="E5" s="1">
        <v>483</v>
      </c>
      <c r="F5" s="3">
        <f t="shared" si="3"/>
        <v>3.4364261168384879E-3</v>
      </c>
      <c r="G5" s="3">
        <f t="shared" si="0"/>
        <v>8.4192439862542962E-2</v>
      </c>
      <c r="H5" s="3">
        <f t="shared" si="1"/>
        <v>0.29725085910652921</v>
      </c>
      <c r="I5" s="3">
        <f t="shared" si="2"/>
        <v>0.82989690721649489</v>
      </c>
      <c r="J5" s="1">
        <v>582</v>
      </c>
    </row>
    <row r="6" spans="1:10" ht="19">
      <c r="A6" s="1" t="s">
        <v>15</v>
      </c>
      <c r="B6" s="1">
        <v>1</v>
      </c>
      <c r="C6" s="1">
        <v>83</v>
      </c>
      <c r="D6" s="1">
        <v>260</v>
      </c>
      <c r="E6" s="1">
        <v>547</v>
      </c>
      <c r="F6" s="3">
        <f t="shared" si="3"/>
        <v>1.6750418760469012E-3</v>
      </c>
      <c r="G6" s="3">
        <f t="shared" si="0"/>
        <v>0.13902847571189281</v>
      </c>
      <c r="H6" s="3">
        <f t="shared" si="1"/>
        <v>0.43551088777219432</v>
      </c>
      <c r="I6" s="3">
        <f t="shared" si="2"/>
        <v>0.91624790619765495</v>
      </c>
      <c r="J6" s="1">
        <v>597</v>
      </c>
    </row>
    <row r="7" spans="1:10" ht="19">
      <c r="A7" s="1" t="s">
        <v>16</v>
      </c>
      <c r="B7" s="1">
        <v>1</v>
      </c>
      <c r="C7" s="1">
        <v>51</v>
      </c>
      <c r="D7" s="1">
        <v>171</v>
      </c>
      <c r="E7" s="1">
        <v>582</v>
      </c>
      <c r="F7" s="3">
        <f t="shared" si="3"/>
        <v>9.9108027750247768E-4</v>
      </c>
      <c r="G7" s="3">
        <f t="shared" si="0"/>
        <v>5.0545094152626362E-2</v>
      </c>
      <c r="H7" s="3">
        <f t="shared" si="1"/>
        <v>0.16947472745292369</v>
      </c>
      <c r="I7" s="3">
        <f t="shared" si="2"/>
        <v>0.57680872150644202</v>
      </c>
      <c r="J7" s="1">
        <v>1009</v>
      </c>
    </row>
  </sheetData>
  <sortState xmlns:xlrd2="http://schemas.microsoft.com/office/spreadsheetml/2017/richdata2" ref="A1:K9">
    <sortCondition descending="1" ref="F1:F9"/>
    <sortCondition descending="1" ref="G1:G9"/>
    <sortCondition descending="1" ref="H1:H9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91AE-D396-C04B-AF4D-02C6F443322F}">
  <dimension ref="A1:I6"/>
  <sheetViews>
    <sheetView workbookViewId="0">
      <selection activeCell="A25" sqref="A25"/>
    </sheetView>
  </sheetViews>
  <sheetFormatPr baseColWidth="10" defaultRowHeight="14"/>
  <cols>
    <col min="1" max="1" width="17.83203125" customWidth="1"/>
  </cols>
  <sheetData>
    <row r="1" spans="1:9" ht="1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  <c r="H1" s="1" t="s">
        <v>20</v>
      </c>
      <c r="I1" s="1" t="s">
        <v>21</v>
      </c>
    </row>
    <row r="2" spans="1:9" ht="19">
      <c r="A2" s="1" t="s">
        <v>11</v>
      </c>
      <c r="B2" s="7">
        <v>638.25</v>
      </c>
      <c r="C2" s="7">
        <v>114.11</v>
      </c>
      <c r="D2" s="7">
        <v>127.06</v>
      </c>
      <c r="E2" s="7">
        <v>130</v>
      </c>
      <c r="F2" s="7">
        <v>86.7</v>
      </c>
      <c r="G2" s="7">
        <v>91.98</v>
      </c>
      <c r="H2" s="7">
        <v>88.41</v>
      </c>
      <c r="I2" s="7">
        <v>89</v>
      </c>
    </row>
    <row r="3" spans="1:9" ht="19">
      <c r="A3" s="1" t="s">
        <v>12</v>
      </c>
      <c r="B3" s="7">
        <v>614.91</v>
      </c>
      <c r="C3" s="7">
        <v>111.78</v>
      </c>
      <c r="D3" s="7">
        <v>116.8</v>
      </c>
      <c r="E3" s="7">
        <v>122.39</v>
      </c>
      <c r="F3" s="7">
        <v>84</v>
      </c>
      <c r="G3" s="7">
        <v>90.54</v>
      </c>
      <c r="H3" s="7">
        <v>89.51</v>
      </c>
      <c r="I3" s="7">
        <v>88.69</v>
      </c>
    </row>
    <row r="4" spans="1:9" ht="19">
      <c r="A4" s="1" t="s">
        <v>14</v>
      </c>
      <c r="B4" s="7">
        <v>590.25</v>
      </c>
      <c r="C4" s="7">
        <v>109.46</v>
      </c>
      <c r="D4" s="7">
        <v>110.35</v>
      </c>
      <c r="E4" s="7">
        <v>117.75</v>
      </c>
      <c r="F4" s="7">
        <v>76.709999999999994</v>
      </c>
      <c r="G4" s="7">
        <v>89.55</v>
      </c>
      <c r="H4" s="7">
        <v>86.41</v>
      </c>
      <c r="I4" s="7">
        <v>91.2</v>
      </c>
    </row>
    <row r="5" spans="1:9" ht="19">
      <c r="A5" s="1" t="s">
        <v>15</v>
      </c>
      <c r="B5" s="7">
        <v>600</v>
      </c>
      <c r="C5" s="7">
        <v>109.41</v>
      </c>
      <c r="D5" s="7">
        <v>114.32</v>
      </c>
      <c r="E5" s="7">
        <v>119.74</v>
      </c>
      <c r="F5" s="7">
        <v>80.010000000000005</v>
      </c>
      <c r="G5" s="7">
        <v>89.15</v>
      </c>
      <c r="H5" s="7">
        <v>87.56</v>
      </c>
      <c r="I5" s="7">
        <v>78.33</v>
      </c>
    </row>
    <row r="6" spans="1:9" ht="19">
      <c r="A6" s="1" t="s">
        <v>16</v>
      </c>
      <c r="B6" s="7">
        <v>568.42999999999995</v>
      </c>
      <c r="C6" s="7">
        <v>106.14</v>
      </c>
      <c r="D6" s="7">
        <v>104.57</v>
      </c>
      <c r="E6" s="7">
        <v>111.11</v>
      </c>
      <c r="F6" s="7">
        <v>74.430000000000007</v>
      </c>
      <c r="G6" s="7">
        <v>87.27</v>
      </c>
      <c r="H6" s="7">
        <v>85.94</v>
      </c>
      <c r="I6" s="7">
        <v>79.709999999999994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D371-E6A1-0B43-84FB-D7F15B626594}">
  <dimension ref="A1:H6"/>
  <sheetViews>
    <sheetView workbookViewId="0">
      <selection activeCell="A41" sqref="A41"/>
    </sheetView>
  </sheetViews>
  <sheetFormatPr baseColWidth="10" defaultRowHeight="14"/>
  <cols>
    <col min="1" max="1" width="17.83203125" customWidth="1"/>
    <col min="2" max="8" width="12.83203125" customWidth="1"/>
  </cols>
  <sheetData>
    <row r="1" spans="1:8" ht="1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21</v>
      </c>
      <c r="H1" s="1" t="s">
        <v>22</v>
      </c>
    </row>
    <row r="2" spans="1:8" ht="19">
      <c r="A2" s="1" t="s">
        <v>11</v>
      </c>
      <c r="B2" s="7">
        <v>608</v>
      </c>
      <c r="C2" s="7">
        <v>116.3</v>
      </c>
      <c r="D2" s="7">
        <v>112.17</v>
      </c>
      <c r="E2" s="7">
        <v>131.6</v>
      </c>
      <c r="F2" s="7">
        <v>70.73</v>
      </c>
      <c r="G2" s="7">
        <v>89.8</v>
      </c>
      <c r="H2" s="7">
        <v>87.4</v>
      </c>
    </row>
    <row r="3" spans="1:8" ht="19">
      <c r="A3" s="1" t="s">
        <v>12</v>
      </c>
      <c r="B3" s="7">
        <v>600.28</v>
      </c>
      <c r="C3" s="7">
        <v>116.8</v>
      </c>
      <c r="D3" s="7">
        <v>103.97</v>
      </c>
      <c r="E3" s="7">
        <v>126.85</v>
      </c>
      <c r="F3" s="7">
        <v>70.97</v>
      </c>
      <c r="G3" s="7">
        <v>92.49</v>
      </c>
      <c r="H3" s="7">
        <v>88.76</v>
      </c>
    </row>
    <row r="4" spans="1:8" ht="19">
      <c r="A4" s="1" t="s">
        <v>14</v>
      </c>
      <c r="B4" s="7">
        <v>535.57000000000005</v>
      </c>
      <c r="C4" s="7">
        <v>111.31</v>
      </c>
      <c r="D4" s="7">
        <v>80.900000000000006</v>
      </c>
      <c r="E4" s="7">
        <v>114.9</v>
      </c>
      <c r="F4" s="7">
        <v>64.790000000000006</v>
      </c>
      <c r="G4" s="7">
        <v>84.81</v>
      </c>
      <c r="H4" s="7">
        <v>78.86</v>
      </c>
    </row>
    <row r="5" spans="1:8" ht="19">
      <c r="A5" s="1" t="s">
        <v>15</v>
      </c>
      <c r="B5" s="7">
        <v>569.20000000000005</v>
      </c>
      <c r="C5" s="7">
        <v>113.78</v>
      </c>
      <c r="D5" s="7">
        <v>97.02</v>
      </c>
      <c r="E5" s="7">
        <v>126.72</v>
      </c>
      <c r="F5" s="7">
        <v>66.12</v>
      </c>
      <c r="G5" s="7">
        <v>85.36</v>
      </c>
      <c r="H5" s="7">
        <v>80.2</v>
      </c>
    </row>
    <row r="6" spans="1:8" ht="19">
      <c r="A6" s="1" t="s">
        <v>16</v>
      </c>
      <c r="B6" s="7">
        <v>530.88</v>
      </c>
      <c r="C6" s="7">
        <v>107.43</v>
      </c>
      <c r="D6" s="7">
        <v>81.41</v>
      </c>
      <c r="E6" s="7">
        <v>111.05</v>
      </c>
      <c r="F6" s="7">
        <v>66.12</v>
      </c>
      <c r="G6" s="7">
        <v>84.59</v>
      </c>
      <c r="H6" s="7">
        <v>80.27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85D3-51DB-694C-B049-3460728C769D}">
  <dimension ref="A1:D10"/>
  <sheetViews>
    <sheetView tabSelected="1" topLeftCell="I1" zoomScale="70" zoomScaleNormal="70" workbookViewId="0">
      <selection activeCell="AD49" sqref="AD49"/>
    </sheetView>
  </sheetViews>
  <sheetFormatPr baseColWidth="10" defaultRowHeight="14"/>
  <sheetData>
    <row r="1" spans="1:4" ht="18">
      <c r="A1" s="9" t="s">
        <v>24</v>
      </c>
      <c r="B1" s="9" t="s">
        <v>25</v>
      </c>
      <c r="C1" s="9" t="s">
        <v>26</v>
      </c>
      <c r="D1" s="13" t="s">
        <v>41</v>
      </c>
    </row>
    <row r="2" spans="1:4" ht="18">
      <c r="A2" s="9" t="s">
        <v>27</v>
      </c>
      <c r="B2" s="8">
        <v>0.88</v>
      </c>
      <c r="C2" s="8">
        <v>0.96</v>
      </c>
      <c r="D2" s="9" t="s">
        <v>39</v>
      </c>
    </row>
    <row r="3" spans="1:4" ht="18">
      <c r="A3" s="9" t="s">
        <v>28</v>
      </c>
      <c r="B3" s="8">
        <v>0.9</v>
      </c>
      <c r="C3" s="8">
        <v>0.98</v>
      </c>
      <c r="D3" s="9" t="s">
        <v>39</v>
      </c>
    </row>
    <row r="4" spans="1:4" ht="18">
      <c r="A4" s="9" t="s">
        <v>29</v>
      </c>
      <c r="B4" s="8">
        <v>0.95</v>
      </c>
      <c r="C4" s="8">
        <v>0.96</v>
      </c>
      <c r="D4" s="9" t="s">
        <v>39</v>
      </c>
    </row>
    <row r="5" spans="1:4" ht="18">
      <c r="A5" s="9" t="s">
        <v>30</v>
      </c>
      <c r="B5" s="8">
        <v>0.93</v>
      </c>
      <c r="C5" s="8">
        <v>0.99</v>
      </c>
      <c r="D5" s="9" t="s">
        <v>39</v>
      </c>
    </row>
    <row r="6" spans="1:4" ht="18">
      <c r="A6" s="9" t="s">
        <v>31</v>
      </c>
      <c r="B6" s="8">
        <v>0.85</v>
      </c>
      <c r="C6" s="8">
        <v>0.99</v>
      </c>
      <c r="D6" s="9" t="s">
        <v>39</v>
      </c>
    </row>
    <row r="7" spans="1:4" ht="18">
      <c r="A7" s="9" t="s">
        <v>32</v>
      </c>
      <c r="B7" s="8">
        <v>0.88</v>
      </c>
      <c r="C7" s="8">
        <v>0.98</v>
      </c>
      <c r="D7" s="9" t="s">
        <v>39</v>
      </c>
    </row>
    <row r="8" spans="1:4" ht="18">
      <c r="A8" s="9" t="s">
        <v>33</v>
      </c>
      <c r="B8" s="8">
        <v>0.33</v>
      </c>
      <c r="C8" s="8">
        <v>0.86</v>
      </c>
      <c r="D8" s="9" t="s">
        <v>40</v>
      </c>
    </row>
    <row r="10" spans="1:4" ht="18">
      <c r="A10" s="10" t="s">
        <v>35</v>
      </c>
      <c r="B10" s="11">
        <v>0.89800000000000002</v>
      </c>
      <c r="C10" s="11">
        <v>0.97599999999999998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231A-80DE-3846-B21F-4D9AA19BDB29}">
  <dimension ref="A1:D9"/>
  <sheetViews>
    <sheetView zoomScale="82" workbookViewId="0">
      <selection activeCell="B5" sqref="B5:B7"/>
    </sheetView>
  </sheetViews>
  <sheetFormatPr baseColWidth="10" defaultRowHeight="14"/>
  <sheetData>
    <row r="1" spans="1:4" ht="18">
      <c r="A1" s="9" t="s">
        <v>24</v>
      </c>
      <c r="B1" s="9" t="s">
        <v>25</v>
      </c>
      <c r="C1" s="9" t="s">
        <v>26</v>
      </c>
      <c r="D1" s="13" t="s">
        <v>41</v>
      </c>
    </row>
    <row r="2" spans="1:4" ht="18">
      <c r="A2" s="9" t="s">
        <v>27</v>
      </c>
      <c r="B2" s="9">
        <v>0.82</v>
      </c>
      <c r="C2" s="9">
        <v>0.9</v>
      </c>
      <c r="D2" s="9" t="s">
        <v>38</v>
      </c>
    </row>
    <row r="3" spans="1:4" ht="18">
      <c r="A3" s="9" t="s">
        <v>28</v>
      </c>
      <c r="B3" s="9">
        <v>0.91</v>
      </c>
      <c r="C3" s="9">
        <v>0.94</v>
      </c>
      <c r="D3" s="9" t="s">
        <v>39</v>
      </c>
    </row>
    <row r="4" spans="1:4" ht="18">
      <c r="A4" s="9" t="s">
        <v>29</v>
      </c>
      <c r="B4" s="9">
        <v>0.96</v>
      </c>
      <c r="C4" s="9">
        <v>0.94</v>
      </c>
      <c r="D4" s="9" t="s">
        <v>39</v>
      </c>
    </row>
    <row r="5" spans="1:4" ht="18">
      <c r="A5" s="12" t="s">
        <v>36</v>
      </c>
      <c r="B5" s="9">
        <v>0.61</v>
      </c>
      <c r="C5" s="9">
        <v>0.93</v>
      </c>
      <c r="D5" s="9" t="s">
        <v>40</v>
      </c>
    </row>
    <row r="6" spans="1:4" ht="18">
      <c r="A6" s="12" t="s">
        <v>23</v>
      </c>
      <c r="B6" s="9">
        <v>0.46</v>
      </c>
      <c r="C6" s="9">
        <v>0.94</v>
      </c>
      <c r="D6" s="9" t="s">
        <v>40</v>
      </c>
    </row>
    <row r="7" spans="1:4" ht="18">
      <c r="A7" s="12" t="s">
        <v>37</v>
      </c>
      <c r="B7" s="9">
        <v>0.39</v>
      </c>
      <c r="C7" s="9">
        <v>0.93</v>
      </c>
      <c r="D7" s="9" t="s">
        <v>40</v>
      </c>
    </row>
    <row r="9" spans="1:4" ht="18">
      <c r="A9" s="14" t="s">
        <v>34</v>
      </c>
      <c r="B9" s="10">
        <v>0.69099999999999995</v>
      </c>
      <c r="C9" s="10">
        <v>0.92500000000000004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58E2-A55F-A74A-9F86-1EECD78A305F}">
  <dimension ref="A1:J4"/>
  <sheetViews>
    <sheetView workbookViewId="0">
      <selection activeCell="C18" sqref="C18"/>
    </sheetView>
  </sheetViews>
  <sheetFormatPr baseColWidth="10" defaultRowHeight="18"/>
  <cols>
    <col min="1" max="1" width="17.83203125" style="15" customWidth="1"/>
    <col min="2" max="10" width="12.83203125" style="15" customWidth="1"/>
    <col min="11" max="16384" width="10.83203125" style="15"/>
  </cols>
  <sheetData>
    <row r="1" spans="1:10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55</v>
      </c>
      <c r="G1" s="18" t="s">
        <v>56</v>
      </c>
      <c r="H1" s="18" t="s">
        <v>57</v>
      </c>
      <c r="I1" s="18" t="s">
        <v>58</v>
      </c>
      <c r="J1" s="18" t="s">
        <v>59</v>
      </c>
    </row>
    <row r="2" spans="1:10">
      <c r="A2" s="17" t="s">
        <v>42</v>
      </c>
      <c r="B2" s="18">
        <v>620.49</v>
      </c>
      <c r="C2" s="18">
        <v>112.17</v>
      </c>
      <c r="D2" s="18">
        <v>117.2</v>
      </c>
      <c r="E2" s="18">
        <v>126.42</v>
      </c>
      <c r="F2" s="18">
        <v>82.76</v>
      </c>
      <c r="G2" s="18">
        <v>79.92</v>
      </c>
      <c r="H2" s="18">
        <v>92.34</v>
      </c>
      <c r="I2" s="18">
        <v>71.84</v>
      </c>
      <c r="J2" s="18">
        <v>89.59</v>
      </c>
    </row>
    <row r="3" spans="1:10">
      <c r="A3" s="17" t="s">
        <v>43</v>
      </c>
      <c r="B3" s="18">
        <v>619.72</v>
      </c>
      <c r="C3" s="18">
        <v>111.64</v>
      </c>
      <c r="D3" s="18">
        <v>118.95</v>
      </c>
      <c r="E3" s="18">
        <v>123.17</v>
      </c>
      <c r="F3" s="18">
        <v>84.84</v>
      </c>
      <c r="G3" s="18">
        <v>78.2</v>
      </c>
      <c r="H3" s="18">
        <v>91.46</v>
      </c>
      <c r="I3" s="18">
        <v>71.86</v>
      </c>
      <c r="J3" s="18">
        <v>89.66</v>
      </c>
    </row>
    <row r="4" spans="1:10">
      <c r="A4" s="17" t="s">
        <v>44</v>
      </c>
      <c r="B4" s="18">
        <v>617.57000000000005</v>
      </c>
      <c r="C4" s="18">
        <v>109.21</v>
      </c>
      <c r="D4" s="18">
        <v>117.31</v>
      </c>
      <c r="E4" s="18">
        <v>124.19</v>
      </c>
      <c r="F4" s="18">
        <v>84.72</v>
      </c>
      <c r="G4" s="18">
        <v>80.22</v>
      </c>
      <c r="H4" s="18">
        <v>92.4</v>
      </c>
      <c r="I4" s="18">
        <v>71.58</v>
      </c>
      <c r="J4" s="18">
        <v>89.74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2EAA-BDAB-DE45-B0E7-1EEE42E6FD95}">
  <dimension ref="A1:L4"/>
  <sheetViews>
    <sheetView workbookViewId="0">
      <selection sqref="A1:L4"/>
    </sheetView>
  </sheetViews>
  <sheetFormatPr baseColWidth="10" defaultRowHeight="14"/>
  <cols>
    <col min="1" max="1" width="17.83203125" customWidth="1"/>
    <col min="2" max="10" width="12.83203125" customWidth="1"/>
  </cols>
  <sheetData>
    <row r="1" spans="1:12" ht="18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55</v>
      </c>
      <c r="G1" s="18" t="s">
        <v>56</v>
      </c>
      <c r="H1" s="18" t="s">
        <v>57</v>
      </c>
      <c r="I1" s="18" t="s">
        <v>58</v>
      </c>
      <c r="J1" s="18" t="s">
        <v>59</v>
      </c>
      <c r="K1" s="18" t="s">
        <v>60</v>
      </c>
      <c r="L1" s="18" t="s">
        <v>61</v>
      </c>
    </row>
    <row r="2" spans="1:12" ht="19">
      <c r="A2" s="17" t="s">
        <v>14</v>
      </c>
      <c r="B2" s="18">
        <v>602.29</v>
      </c>
      <c r="C2" s="18">
        <v>110.77</v>
      </c>
      <c r="D2" s="18">
        <v>113.55</v>
      </c>
      <c r="E2" s="18">
        <v>120.97</v>
      </c>
      <c r="F2" s="18">
        <v>79.099999999999994</v>
      </c>
      <c r="G2" s="18">
        <v>75.92</v>
      </c>
      <c r="H2" s="18">
        <v>90.48</v>
      </c>
      <c r="I2" s="18">
        <v>68.150000000000006</v>
      </c>
      <c r="J2" s="18">
        <v>87.45</v>
      </c>
      <c r="K2" s="17">
        <v>75</v>
      </c>
      <c r="L2" s="18">
        <v>92.67</v>
      </c>
    </row>
    <row r="3" spans="1:12" ht="19">
      <c r="A3" s="17" t="s">
        <v>15</v>
      </c>
      <c r="B3" s="18">
        <v>609</v>
      </c>
      <c r="C3" s="18">
        <v>110.25</v>
      </c>
      <c r="D3" s="18">
        <v>116.99</v>
      </c>
      <c r="E3" s="18">
        <v>121.07</v>
      </c>
      <c r="F3" s="18">
        <v>82.3</v>
      </c>
      <c r="G3" s="18">
        <v>75.290000000000006</v>
      </c>
      <c r="H3" s="18">
        <v>90.23</v>
      </c>
      <c r="I3" s="18">
        <v>69.2</v>
      </c>
      <c r="J3" s="18">
        <v>88.31</v>
      </c>
      <c r="K3" s="17">
        <v>58</v>
      </c>
      <c r="L3" s="18">
        <v>81.5</v>
      </c>
    </row>
    <row r="4" spans="1:12" ht="19">
      <c r="A4" s="17" t="s">
        <v>16</v>
      </c>
      <c r="B4" s="18">
        <v>601.02</v>
      </c>
      <c r="C4" s="18">
        <v>108.21</v>
      </c>
      <c r="D4" s="18">
        <v>112.58</v>
      </c>
      <c r="E4" s="18">
        <v>118.93</v>
      </c>
      <c r="F4" s="18">
        <v>82.36</v>
      </c>
      <c r="G4" s="18">
        <v>76.319999999999993</v>
      </c>
      <c r="H4" s="18">
        <v>90.62</v>
      </c>
      <c r="I4" s="18">
        <v>69.489999999999995</v>
      </c>
      <c r="J4" s="18">
        <v>88.63</v>
      </c>
      <c r="K4" s="17">
        <v>63.67</v>
      </c>
      <c r="L4" s="18">
        <v>85.33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828A-2339-B742-AD0B-C240D87F2A41}">
  <dimension ref="A1:L4"/>
  <sheetViews>
    <sheetView workbookViewId="0">
      <selection sqref="A1:L4"/>
    </sheetView>
  </sheetViews>
  <sheetFormatPr baseColWidth="10" defaultRowHeight="14"/>
  <cols>
    <col min="1" max="1" width="17.83203125" customWidth="1"/>
    <col min="2" max="10" width="12.83203125" customWidth="1"/>
  </cols>
  <sheetData>
    <row r="1" spans="1:12" ht="18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55</v>
      </c>
      <c r="G1" s="18" t="s">
        <v>56</v>
      </c>
      <c r="H1" s="18" t="s">
        <v>57</v>
      </c>
      <c r="I1" s="18" t="s">
        <v>58</v>
      </c>
      <c r="J1" s="18" t="s">
        <v>59</v>
      </c>
      <c r="K1" s="18" t="s">
        <v>60</v>
      </c>
      <c r="L1" s="18" t="s">
        <v>61</v>
      </c>
    </row>
    <row r="2" spans="1:12" ht="19">
      <c r="A2" s="17" t="s">
        <v>14</v>
      </c>
      <c r="B2" s="18">
        <v>581.24</v>
      </c>
      <c r="C2" s="18">
        <v>108.88</v>
      </c>
      <c r="D2" s="18">
        <v>107.98</v>
      </c>
      <c r="E2" s="18">
        <v>116</v>
      </c>
      <c r="F2" s="18">
        <v>75.040000000000006</v>
      </c>
      <c r="G2" s="18">
        <v>71.78</v>
      </c>
      <c r="H2" s="18">
        <v>88.32</v>
      </c>
      <c r="I2" s="18">
        <v>64.48</v>
      </c>
      <c r="J2" s="18">
        <v>85.1</v>
      </c>
      <c r="K2" s="17">
        <v>67.86</v>
      </c>
      <c r="L2" s="18">
        <v>88.29</v>
      </c>
    </row>
    <row r="3" spans="1:12" ht="19">
      <c r="A3" s="17" t="s">
        <v>15</v>
      </c>
      <c r="B3" s="18">
        <v>592.99</v>
      </c>
      <c r="C3" s="18">
        <v>109.02</v>
      </c>
      <c r="D3" s="18">
        <v>112.56</v>
      </c>
      <c r="E3" s="18">
        <v>118.38</v>
      </c>
      <c r="F3" s="18">
        <v>78.25</v>
      </c>
      <c r="G3" s="18">
        <v>70.959999999999994</v>
      </c>
      <c r="H3" s="18">
        <v>88.05</v>
      </c>
      <c r="I3" s="18">
        <v>66.819999999999993</v>
      </c>
      <c r="J3" s="18">
        <v>86.99</v>
      </c>
      <c r="K3" s="17">
        <v>55.5</v>
      </c>
      <c r="L3" s="18">
        <v>78.83</v>
      </c>
    </row>
    <row r="4" spans="1:12" ht="19">
      <c r="A4" s="17" t="s">
        <v>16</v>
      </c>
      <c r="B4" s="18">
        <v>579.33000000000004</v>
      </c>
      <c r="C4" s="18">
        <v>107.11</v>
      </c>
      <c r="D4" s="18">
        <v>107.87</v>
      </c>
      <c r="E4" s="18">
        <v>112.72</v>
      </c>
      <c r="F4" s="18">
        <v>76.790000000000006</v>
      </c>
      <c r="G4" s="18">
        <v>72.17</v>
      </c>
      <c r="H4" s="18">
        <v>88.55</v>
      </c>
      <c r="I4" s="18">
        <v>66.72</v>
      </c>
      <c r="J4" s="18">
        <v>86.84</v>
      </c>
      <c r="K4" s="17">
        <v>61.11</v>
      </c>
      <c r="L4" s="18">
        <v>84.22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17AC-5C08-AB47-85CF-6492C4153907}">
  <dimension ref="A1:L4"/>
  <sheetViews>
    <sheetView workbookViewId="0">
      <selection sqref="A1:J4"/>
    </sheetView>
  </sheetViews>
  <sheetFormatPr baseColWidth="10" defaultRowHeight="14"/>
  <cols>
    <col min="1" max="1" width="17.83203125" customWidth="1"/>
    <col min="2" max="10" width="12.83203125" customWidth="1"/>
  </cols>
  <sheetData>
    <row r="1" spans="1:12" ht="18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50</v>
      </c>
      <c r="G1" s="18" t="s">
        <v>51</v>
      </c>
      <c r="H1" s="18" t="s">
        <v>52</v>
      </c>
      <c r="I1" s="18" t="s">
        <v>53</v>
      </c>
      <c r="J1" s="18" t="s">
        <v>54</v>
      </c>
    </row>
    <row r="2" spans="1:12" ht="18">
      <c r="A2" s="17" t="s">
        <v>42</v>
      </c>
      <c r="B2" s="18">
        <v>508.66</v>
      </c>
      <c r="C2" s="18">
        <v>108.62</v>
      </c>
      <c r="D2" s="18">
        <v>70.3</v>
      </c>
      <c r="E2" s="18">
        <v>108.02</v>
      </c>
      <c r="F2" s="18">
        <v>63.57</v>
      </c>
      <c r="G2" s="18">
        <v>59.78</v>
      </c>
      <c r="H2" s="18">
        <v>82.92</v>
      </c>
      <c r="I2" s="18">
        <v>51.18</v>
      </c>
      <c r="J2" s="18">
        <v>75.66</v>
      </c>
    </row>
    <row r="3" spans="1:12" ht="18">
      <c r="A3" s="17" t="s">
        <v>43</v>
      </c>
      <c r="B3" s="18">
        <v>550.88</v>
      </c>
      <c r="C3" s="18">
        <v>111.87</v>
      </c>
      <c r="D3" s="18">
        <v>89.69</v>
      </c>
      <c r="E3" s="18">
        <v>122.87</v>
      </c>
      <c r="F3" s="18">
        <v>66.010000000000005</v>
      </c>
      <c r="G3" s="18">
        <v>59.32</v>
      </c>
      <c r="H3" s="18">
        <v>82.58</v>
      </c>
      <c r="I3" s="18">
        <v>53.02</v>
      </c>
      <c r="J3" s="18">
        <v>77.86</v>
      </c>
    </row>
    <row r="4" spans="1:12" ht="18">
      <c r="A4" s="17" t="s">
        <v>44</v>
      </c>
      <c r="B4" s="18">
        <v>519.41999999999996</v>
      </c>
      <c r="C4" s="18">
        <v>106.44</v>
      </c>
      <c r="D4" s="18">
        <v>76.86</v>
      </c>
      <c r="E4" s="18">
        <v>107.75</v>
      </c>
      <c r="F4" s="18">
        <v>65.45</v>
      </c>
      <c r="G4" s="18">
        <v>60.52</v>
      </c>
      <c r="H4" s="18">
        <v>83.54</v>
      </c>
      <c r="I4" s="18">
        <v>54.22</v>
      </c>
      <c r="J4" s="18">
        <v>79.38</v>
      </c>
      <c r="L4" s="16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3BD1-3DD6-A44A-A4C1-9AF04B2E4858}">
  <dimension ref="A1:J4"/>
  <sheetViews>
    <sheetView workbookViewId="0">
      <selection activeCell="G1" sqref="G1:J1048576"/>
    </sheetView>
  </sheetViews>
  <sheetFormatPr baseColWidth="10" defaultRowHeight="14"/>
  <cols>
    <col min="1" max="1" width="17.83203125" customWidth="1"/>
    <col min="2" max="10" width="12.83203125" customWidth="1"/>
  </cols>
  <sheetData>
    <row r="1" spans="1:10" ht="18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50</v>
      </c>
      <c r="G1" s="18" t="s">
        <v>51</v>
      </c>
      <c r="H1" s="18" t="s">
        <v>52</v>
      </c>
      <c r="I1" s="18" t="s">
        <v>53</v>
      </c>
      <c r="J1" s="18" t="s">
        <v>54</v>
      </c>
    </row>
    <row r="2" spans="1:10" ht="19">
      <c r="A2" s="17" t="s">
        <v>14</v>
      </c>
      <c r="B2" s="18">
        <v>486.54</v>
      </c>
      <c r="C2" s="18">
        <v>105.74</v>
      </c>
      <c r="D2" s="18">
        <v>66.260000000000005</v>
      </c>
      <c r="E2" s="18">
        <v>102.59</v>
      </c>
      <c r="F2" s="18">
        <v>61.37</v>
      </c>
      <c r="G2" s="18">
        <v>56.2</v>
      </c>
      <c r="H2" s="18">
        <v>79.540000000000006</v>
      </c>
      <c r="I2" s="18">
        <v>49.03</v>
      </c>
      <c r="J2" s="18">
        <v>72.89</v>
      </c>
    </row>
    <row r="3" spans="1:10" ht="19">
      <c r="A3" s="17" t="s">
        <v>15</v>
      </c>
      <c r="B3" s="18">
        <v>514.85</v>
      </c>
      <c r="C3" s="18">
        <v>107.62</v>
      </c>
      <c r="D3" s="18">
        <v>78.78</v>
      </c>
      <c r="E3" s="18">
        <v>110.91</v>
      </c>
      <c r="F3" s="18">
        <v>64.010000000000005</v>
      </c>
      <c r="G3" s="18">
        <v>55.68</v>
      </c>
      <c r="H3" s="18">
        <v>79.16</v>
      </c>
      <c r="I3" s="18">
        <v>50.26</v>
      </c>
      <c r="J3" s="18">
        <v>74.38</v>
      </c>
    </row>
    <row r="4" spans="1:10" ht="19">
      <c r="A4" s="17" t="s">
        <v>16</v>
      </c>
      <c r="B4" s="18">
        <v>483.84</v>
      </c>
      <c r="C4" s="18">
        <v>103.03</v>
      </c>
      <c r="D4" s="18">
        <v>66.099999999999994</v>
      </c>
      <c r="E4" s="18">
        <v>97.5</v>
      </c>
      <c r="F4" s="18">
        <v>62.75</v>
      </c>
      <c r="G4" s="18">
        <v>54.63</v>
      </c>
      <c r="H4" s="18">
        <v>78.05</v>
      </c>
      <c r="I4" s="18">
        <v>51.83</v>
      </c>
      <c r="J4" s="18">
        <v>76.47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3B3A-D3E9-5D4F-8C39-BD7F0ADF43EB}">
  <dimension ref="A1:J4"/>
  <sheetViews>
    <sheetView workbookViewId="0">
      <selection activeCell="G1" sqref="G1:J1048576"/>
    </sheetView>
  </sheetViews>
  <sheetFormatPr baseColWidth="10" defaultRowHeight="14"/>
  <cols>
    <col min="1" max="1" width="17.83203125" customWidth="1"/>
    <col min="2" max="10" width="12.83203125" customWidth="1"/>
  </cols>
  <sheetData>
    <row r="1" spans="1:10" ht="18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50</v>
      </c>
      <c r="G1" s="18" t="s">
        <v>51</v>
      </c>
      <c r="H1" s="18" t="s">
        <v>52</v>
      </c>
      <c r="I1" s="18" t="s">
        <v>53</v>
      </c>
      <c r="J1" s="18" t="s">
        <v>54</v>
      </c>
    </row>
    <row r="2" spans="1:10" ht="19">
      <c r="A2" s="17" t="s">
        <v>14</v>
      </c>
      <c r="B2" s="18">
        <v>486.54</v>
      </c>
      <c r="C2" s="18">
        <v>105.74</v>
      </c>
      <c r="D2" s="18">
        <v>66.260000000000005</v>
      </c>
      <c r="E2" s="18">
        <v>102.59</v>
      </c>
      <c r="F2" s="18">
        <v>61.37</v>
      </c>
      <c r="G2" s="18">
        <v>56.2</v>
      </c>
      <c r="H2" s="18">
        <v>79.540000000000006</v>
      </c>
      <c r="I2" s="18">
        <v>49.03</v>
      </c>
      <c r="J2" s="18">
        <v>72.89</v>
      </c>
    </row>
    <row r="3" spans="1:10" ht="19">
      <c r="A3" s="17" t="s">
        <v>15</v>
      </c>
      <c r="B3" s="18">
        <v>514.85</v>
      </c>
      <c r="C3" s="18">
        <v>107.62</v>
      </c>
      <c r="D3" s="18">
        <v>78.78</v>
      </c>
      <c r="E3" s="18">
        <v>110.91</v>
      </c>
      <c r="F3" s="18">
        <v>64.010000000000005</v>
      </c>
      <c r="G3" s="18">
        <v>55.68</v>
      </c>
      <c r="H3" s="18">
        <v>79.16</v>
      </c>
      <c r="I3" s="18">
        <v>50.26</v>
      </c>
      <c r="J3" s="18">
        <v>74.38</v>
      </c>
    </row>
    <row r="4" spans="1:10" ht="19">
      <c r="A4" s="17" t="s">
        <v>16</v>
      </c>
      <c r="B4" s="18">
        <v>458.21</v>
      </c>
      <c r="C4" s="18">
        <v>100</v>
      </c>
      <c r="D4" s="18">
        <v>60.75</v>
      </c>
      <c r="E4" s="18">
        <v>92.31</v>
      </c>
      <c r="F4" s="18">
        <v>60.62</v>
      </c>
      <c r="G4" s="18">
        <v>51.55</v>
      </c>
      <c r="H4" s="18">
        <v>74.81</v>
      </c>
      <c r="I4" s="18">
        <v>49.76</v>
      </c>
      <c r="J4" s="18">
        <v>73.900000000000006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各校上线对比【物理】</vt:lpstr>
      <vt:lpstr>各校上线对比【历史】</vt:lpstr>
      <vt:lpstr>各校上线对比【综合】</vt:lpstr>
      <vt:lpstr>前30%均分对比【物理】</vt:lpstr>
      <vt:lpstr>前30%均分对比【历史】</vt:lpstr>
      <vt:lpstr>学科贡献度（物理类）</vt:lpstr>
      <vt:lpstr>学科贡献度（历史类）</vt:lpstr>
      <vt:lpstr>前50名（物理）</vt:lpstr>
      <vt:lpstr>前100名（物理）</vt:lpstr>
      <vt:lpstr>前200名（物理）</vt:lpstr>
      <vt:lpstr>前50名（历史）</vt:lpstr>
      <vt:lpstr>前100名（历史）</vt:lpstr>
      <vt:lpstr>前200名（历史）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刘 哲文</cp:lastModifiedBy>
  <cp:lastPrinted>2024-10-11T09:12:37Z</cp:lastPrinted>
  <dcterms:created xsi:type="dcterms:W3CDTF">2024-10-11T00:11:00Z</dcterms:created>
  <dcterms:modified xsi:type="dcterms:W3CDTF">2024-11-17T07:23:53Z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F32D322DCD474C8080359D2D057B8A68_11</vt:lpwstr>
  </property>
  <property fmtid="{D5CDD505-2E9C-101B-9397-08002B2CF9AE}" pid="3" name="KSOProductBuildVer">
    <vt:lpwstr>2052-12.1.0.18276</vt:lpwstr>
  </property>
</Properties>
</file>